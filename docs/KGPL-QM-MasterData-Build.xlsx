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README" sheetId="1" state="visible" r:id="rId3"/>
    <sheet name="2 MIC Master" sheetId="2" state="visible" r:id="rId4"/>
    <sheet name="3 Code Groups" sheetId="3" state="visible" r:id="rId5"/>
    <sheet name="4 Selected Sets" sheetId="4" state="visible" r:id="rId6"/>
    <sheet name="5 Inspection Plans" sheetId="5" state="visible" r:id="rId7"/>
    <sheet name="6 Sampling" sheetId="6" state="visible" r:id="rId8"/>
    <sheet name="7 Usage Decisions" sheetId="7" state="visible" r:id="rId9"/>
    <sheet name="8 Open Items" sheetId="8" state="visible" r:id="rId10"/>
  </sheets>
  <definedNames>
    <definedName function="false" hidden="true" localSheetId="1" name="_xlnm._FilterDatabase" vbProcedure="false">'2 MIC Master'!$A$1:$O$37</definedName>
    <definedName function="false" hidden="true" localSheetId="4" name="_xlnm._FilterDatabase" vbProcedure="false">'5 Inspection Plans'!$A$1:$J$37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<sst xmlns="http://schemas.openxmlformats.org/spreadsheetml/2006/main" count="981" uniqueCount="482">
  <si>
    <t xml:space="preserve">KGPL Yarn Dyeing QC - QM master data build sheet</t>
  </si>
  <si>
    <t xml:space="preserve">Companion to Specification v2.0. Everything needed to create the QM master data in KSD client 500.</t>
  </si>
  <si>
    <t xml:space="preserve">Contents</t>
  </si>
  <si>
    <t xml:space="preserve">2 MIC Master</t>
  </si>
  <si>
    <t xml:space="preserve">36 master inspection characteristics for QS21</t>
  </si>
  <si>
    <t xml:space="preserve">3 Code Groups</t>
  </si>
  <si>
    <t xml:space="preserve">Code groups and codes for QS41</t>
  </si>
  <si>
    <t xml:space="preserve">4 Selected Sets</t>
  </si>
  <si>
    <t xml:space="preserve">Selected sets with valuation for QS51</t>
  </si>
  <si>
    <t xml:space="preserve">5 Inspection Plans</t>
  </si>
  <si>
    <t xml:space="preserve">Characteristic assignment per stage for QP01</t>
  </si>
  <si>
    <t xml:space="preserve">6 Sampling</t>
  </si>
  <si>
    <t xml:space="preserve">Sampling procedures for QDV1 and the ISO 2859-1 table</t>
  </si>
  <si>
    <t xml:space="preserve">7 Usage Decisions</t>
  </si>
  <si>
    <t xml:space="preserve">UD code group for catalog 3</t>
  </si>
  <si>
    <t xml:space="preserve">8 Open Items</t>
  </si>
  <si>
    <t xml:space="preserve">What blocks entry, and what needs your numbers</t>
  </si>
  <si>
    <t xml:space="preserve">Counts - live formulas over sheet '2 MIC Master'</t>
  </si>
  <si>
    <t xml:space="preserve">Total characteristics</t>
  </si>
  <si>
    <t xml:space="preserve">Stage 1 - raw material</t>
  </si>
  <si>
    <t xml:space="preserve">Stage 2 - after dyeing</t>
  </si>
  <si>
    <t xml:space="preserve">Stage 3 - after winding</t>
  </si>
  <si>
    <t xml:space="preserve">Quantitative</t>
  </si>
  <si>
    <t xml:space="preserve">Qualitative</t>
  </si>
  <si>
    <t xml:space="preserve">Tier 1 - every batch / lot</t>
  </si>
  <si>
    <t xml:space="preserve">Tier 2 - per recipe / periodic</t>
  </si>
  <si>
    <t xml:space="preserve">Tier 3 - certification cycle</t>
  </si>
  <si>
    <t xml:space="preserve">Legend</t>
  </si>
  <si>
    <t xml:space="preserve">Amber row</t>
  </si>
  <si>
    <t xml:space="preserve">Blocked or placeholder - do not enter into SAP until resolved. See sheet 8.</t>
  </si>
  <si>
    <t xml:space="preserve">'nominal' / 'target'</t>
  </si>
  <si>
    <t xml:space="preserve">Limit is relative to the material's nominal value; enter the absolute figure per material in QP01, not in QS21.</t>
  </si>
  <si>
    <t xml:space="preserve">'min 4-5'</t>
  </si>
  <si>
    <t xml:space="preserve">Qualitative threshold - set by which codes are valuated as accepted in the selected set (sheet 4), not by a spec limit.</t>
  </si>
  <si>
    <t xml:space="preserve">Correction to Specification v2.0</t>
  </si>
  <si>
    <t xml:space="preserve">v2.0 states 37 characteristics. The correct figure is 36 - S1_GRD was counted twice, once inside the stage 1 table and once again in the master data list. This workbook is authoritative: 8 + 15 + 13 = 36.</t>
  </si>
  <si>
    <t xml:space="preserve">Before you start</t>
  </si>
  <si>
    <t xml:space="preserve">1. Resolve sheet 8 first. Two characteristics cannot be created until you supply a code list and a target.</t>
  </si>
  <si>
    <t xml:space="preserve">2. Check the units of measure exist in CUNI. DTEX, CN and G/CM3 are not in the SAP standard set and may need creating.</t>
  </si>
  <si>
    <t xml:space="preserve">3. Create code groups and selected sets (sheets 3 and 4) BEFORE the qualitative MICs - QS21 will reject a selected set that does not exist.</t>
  </si>
  <si>
    <t xml:space="preserve">4. Create MICs at plant level with status 'Released' (2), then assign to inspection plans in QP01.</t>
  </si>
  <si>
    <t xml:space="preserve">5. Percentage limits ('-2.0%') are relative. Enter them as absolute values per material in the inspection plan.</t>
  </si>
  <si>
    <t xml:space="preserve">Stage</t>
  </si>
  <si>
    <t xml:space="preserve">MIC</t>
  </si>
  <si>
    <t xml:space="preserve">Short text (QS21, max 40)</t>
  </si>
  <si>
    <t xml:space="preserve">Char. type</t>
  </si>
  <si>
    <t xml:space="preserve">Dec.</t>
  </si>
  <si>
    <t xml:space="preserve">UoM</t>
  </si>
  <si>
    <t xml:space="preserve">Target</t>
  </si>
  <si>
    <t xml:space="preserve">Lower limit</t>
  </si>
  <si>
    <t xml:space="preserve">Upper limit</t>
  </si>
  <si>
    <t xml:space="preserve">Cat. type</t>
  </si>
  <si>
    <t xml:space="preserve">Selected set</t>
  </si>
  <si>
    <t xml:space="preserve">Tier</t>
  </si>
  <si>
    <t xml:space="preserve">Standard / method</t>
  </si>
  <si>
    <t xml:space="preserve">Sampling</t>
  </si>
  <si>
    <t xml:space="preserve">Note / open item</t>
  </si>
  <si>
    <t xml:space="preserve">1</t>
  </si>
  <si>
    <t xml:space="preserve">S1_DEN</t>
  </si>
  <si>
    <t xml:space="preserve">Linear density - denier verification</t>
  </si>
  <si>
    <t xml:space="preserve">DTEX</t>
  </si>
  <si>
    <t xml:space="preserve">nominal</t>
  </si>
  <si>
    <t xml:space="preserve">-2.0%</t>
  </si>
  <si>
    <t xml:space="preserve">+2.0%</t>
  </si>
  <si>
    <t xml:space="preserve">ISO 2060 / ASTM D1907</t>
  </si>
  <si>
    <t xml:space="preserve">20 breaks / 5 pkgs</t>
  </si>
  <si>
    <t xml:space="preserve">S1_ELG</t>
  </si>
  <si>
    <t xml:space="preserve">Elongation at break</t>
  </si>
  <si>
    <t xml:space="preserve">%</t>
  </si>
  <si>
    <t xml:space="preserve">23.0</t>
  </si>
  <si>
    <t xml:space="preserve">18.0</t>
  </si>
  <si>
    <t xml:space="preserve">28.0</t>
  </si>
  <si>
    <t xml:space="preserve">ISO 2062 / ASTM D2256</t>
  </si>
  <si>
    <t xml:space="preserve">S1_BWS</t>
  </si>
  <si>
    <t xml:space="preserve">Boiling water shrinkage</t>
  </si>
  <si>
    <t xml:space="preserve">7.0</t>
  </si>
  <si>
    <t xml:space="preserve">5.0</t>
  </si>
  <si>
    <t xml:space="preserve">9.0</t>
  </si>
  <si>
    <t xml:space="preserve">ASTM D2259</t>
  </si>
  <si>
    <t xml:space="preserve">5 packages</t>
  </si>
  <si>
    <t xml:space="preserve">Also enforce range &lt;= 1.5% across the 5</t>
  </si>
  <si>
    <t xml:space="preserve">S1_BFL</t>
  </si>
  <si>
    <t xml:space="preserve">Broken filaments</t>
  </si>
  <si>
    <t xml:space="preserve">EA</t>
  </si>
  <si>
    <t xml:space="preserve">0</t>
  </si>
  <si>
    <t xml:space="preserve">2</t>
  </si>
  <si>
    <t xml:space="preserve">Visual under tension</t>
  </si>
  <si>
    <t xml:space="preserve">ISO 2859-1 GIL II</t>
  </si>
  <si>
    <t xml:space="preserve">S1_PKD</t>
  </si>
  <si>
    <t xml:space="preserve">Package density</t>
  </si>
  <si>
    <t xml:space="preserve">G/CM3</t>
  </si>
  <si>
    <t xml:space="preserve">0.39</t>
  </si>
  <si>
    <t xml:space="preserve">0.36</t>
  </si>
  <si>
    <t xml:space="preserve">0.42</t>
  </si>
  <si>
    <t xml:space="preserve">Mass / volume</t>
  </si>
  <si>
    <t xml:space="preserve">S1_PKW</t>
  </si>
  <si>
    <t xml:space="preserve">Package weight</t>
  </si>
  <si>
    <t xml:space="preserve">KG</t>
  </si>
  <si>
    <t xml:space="preserve">-3.0%</t>
  </si>
  <si>
    <t xml:space="preserve">+3.0%</t>
  </si>
  <si>
    <t xml:space="preserve">Weighing</t>
  </si>
  <si>
    <t xml:space="preserve">S1_GRD</t>
  </si>
  <si>
    <t xml:space="preserve">Grade</t>
  </si>
  <si>
    <t xml:space="preserve">min AA</t>
  </si>
  <si>
    <t xml:space="preserve">ZQC_GRADE</t>
  </si>
  <si>
    <t xml:space="preserve">Internal grading rules</t>
  </si>
  <si>
    <t xml:space="preserve">BLOCKED - grade code list required (Q2)</t>
  </si>
  <si>
    <t xml:space="preserve">S1_IDT</t>
  </si>
  <si>
    <t xml:space="preserve">Lot identity vs SAP batch</t>
  </si>
  <si>
    <t xml:space="preserve">Pass</t>
  </si>
  <si>
    <t xml:space="preserve">ZQC_PF</t>
  </si>
  <si>
    <t xml:space="preserve">Tag vs GREY_CODE</t>
  </si>
  <si>
    <t xml:space="preserve">100% of vendor batches</t>
  </si>
  <si>
    <t xml:space="preserve">Auto-fail if batch draws &gt;1 vendor lot</t>
  </si>
  <si>
    <t xml:space="preserve">S2_DE</t>
  </si>
  <si>
    <t xml:space="preserve">Shade vs standard - delta E CMC(2:1)</t>
  </si>
  <si>
    <t xml:space="preserve">0.00</t>
  </si>
  <si>
    <t xml:space="preserve">1.00</t>
  </si>
  <si>
    <t xml:space="preserve">ISO 105-J03 / AATCC EP6</t>
  </si>
  <si>
    <t xml:space="preserve">3 pkgs: top/mid/bottom</t>
  </si>
  <si>
    <t xml:space="preserve">S2_INOUT</t>
  </si>
  <si>
    <t xml:space="preserve">Inside-outside package variation</t>
  </si>
  <si>
    <t xml:space="preserve">min 4-5</t>
  </si>
  <si>
    <t xml:space="preserve">ZQC_GREY</t>
  </si>
  <si>
    <t xml:space="preserve">ISO 105-A02</t>
  </si>
  <si>
    <t xml:space="preserve">2 pkgs x 2 layers</t>
  </si>
  <si>
    <t xml:space="preserve">S2_P2P</t>
  </si>
  <si>
    <t xml:space="preserve">Package-to-package within batch</t>
  </si>
  <si>
    <t xml:space="preserve">min 4</t>
  </si>
  <si>
    <t xml:space="preserve">S2_B2B</t>
  </si>
  <si>
    <t xml:space="preserve">Batch-to-batch vs master</t>
  </si>
  <si>
    <t xml:space="preserve">1 composite</t>
  </si>
  <si>
    <t xml:space="preserve">S2_LEVEL</t>
  </si>
  <si>
    <t xml:space="preserve">Levelness / barre</t>
  </si>
  <si>
    <t xml:space="preserve">Knitted sock, D65</t>
  </si>
  <si>
    <t xml:space="preserve">S2_STAIN</t>
  </si>
  <si>
    <t xml:space="preserve">Stains, tip-dyeing, rust</t>
  </si>
  <si>
    <t xml:space="preserve">Visual</t>
  </si>
  <si>
    <t xml:space="preserve">Defect code required on fail</t>
  </si>
  <si>
    <t xml:space="preserve">S2_WFC</t>
  </si>
  <si>
    <t xml:space="preserve">Washing fastness - colour change</t>
  </si>
  <si>
    <t xml:space="preserve">ISO 105-C06 A1S</t>
  </si>
  <si>
    <t xml:space="preserve">1 composite / recipe</t>
  </si>
  <si>
    <t xml:space="preserve">S2_WFS</t>
  </si>
  <si>
    <t xml:space="preserve">Washing fastness - staining</t>
  </si>
  <si>
    <t xml:space="preserve">min 3-4</t>
  </si>
  <si>
    <t xml:space="preserve">S2_RUBD</t>
  </si>
  <si>
    <t xml:space="preserve">Rubbing fastness - dry</t>
  </si>
  <si>
    <t xml:space="preserve">ISO 105-X12</t>
  </si>
  <si>
    <t xml:space="preserve">S2_RUBW</t>
  </si>
  <si>
    <t xml:space="preserve">Rubbing fastness - wet</t>
  </si>
  <si>
    <t xml:space="preserve">min 3</t>
  </si>
  <si>
    <t xml:space="preserve">S2_PSPA</t>
  </si>
  <si>
    <t xml:space="preserve">Perspiration fastness - acid</t>
  </si>
  <si>
    <t xml:space="preserve">ISO 105-E04</t>
  </si>
  <si>
    <t xml:space="preserve">S2_PSPB</t>
  </si>
  <si>
    <t xml:space="preserve">Perspiration fastness - alkaline</t>
  </si>
  <si>
    <t xml:space="preserve">S2_SUBL</t>
  </si>
  <si>
    <t xml:space="preserve">Sublimation fastness - dry heat</t>
  </si>
  <si>
    <t xml:space="preserve">ISO 105-P01</t>
  </si>
  <si>
    <t xml:space="preserve">180C / 30s</t>
  </si>
  <si>
    <t xml:space="preserve">S2_HCHO</t>
  </si>
  <si>
    <t xml:space="preserve">Free formaldehyde</t>
  </si>
  <si>
    <t xml:space="preserve">PPM</t>
  </si>
  <si>
    <t xml:space="preserve">75</t>
  </si>
  <si>
    <t xml:space="preserve">3</t>
  </si>
  <si>
    <t xml:space="preserve">ISO 14184-1</t>
  </si>
  <si>
    <t xml:space="preserve">1 / certification cycle</t>
  </si>
  <si>
    <t xml:space="preserve">External cert - capture ref no.</t>
  </si>
  <si>
    <t xml:space="preserve">S2_AZO</t>
  </si>
  <si>
    <t xml:space="preserve">Banned azo amines</t>
  </si>
  <si>
    <t xml:space="preserve">20</t>
  </si>
  <si>
    <t xml:space="preserve">EN ISO 14362-1</t>
  </si>
  <si>
    <t xml:space="preserve">S3_PKW</t>
  </si>
  <si>
    <t xml:space="preserve">Package weight - net</t>
  </si>
  <si>
    <t xml:space="preserve">-1.5%</t>
  </si>
  <si>
    <t xml:space="preserve">+1.5%</t>
  </si>
  <si>
    <t xml:space="preserve">S3_PKL</t>
  </si>
  <si>
    <t xml:space="preserve">Package length</t>
  </si>
  <si>
    <t xml:space="preserve">M</t>
  </si>
  <si>
    <t xml:space="preserve">ISO 2060</t>
  </si>
  <si>
    <t xml:space="preserve">Winder counter + verify</t>
  </si>
  <si>
    <t xml:space="preserve">S3_PKD</t>
  </si>
  <si>
    <t xml:space="preserve">0.46</t>
  </si>
  <si>
    <t xml:space="preserve">0.50</t>
  </si>
  <si>
    <t xml:space="preserve">S3_TAPER</t>
  </si>
  <si>
    <t xml:space="preserve">Cone taper and traverse</t>
  </si>
  <si>
    <t xml:space="preserve">Gauge vs cone format</t>
  </si>
  <si>
    <t xml:space="preserve">S3_RIBB</t>
  </si>
  <si>
    <t xml:space="preserve">Ribboning / patterning</t>
  </si>
  <si>
    <t xml:space="preserve">S3_NOSE</t>
  </si>
  <si>
    <t xml:space="preserve">Nose bulging / soft-hard edge</t>
  </si>
  <si>
    <t xml:space="preserve">S3_BFL</t>
  </si>
  <si>
    <t xml:space="preserve">Compare vs S1_BFL - delta is process-added</t>
  </si>
  <si>
    <t xml:space="preserve">S3_TENS</t>
  </si>
  <si>
    <t xml:space="preserve">Winding tension</t>
  </si>
  <si>
    <t xml:space="preserve">CN</t>
  </si>
  <si>
    <t xml:space="preserve">target</t>
  </si>
  <si>
    <t xml:space="preserve">-10.0%</t>
  </si>
  <si>
    <t xml:space="preserve">+10.0%</t>
  </si>
  <si>
    <t xml:space="preserve">Tensiometer</t>
  </si>
  <si>
    <t xml:space="preserve">Per winding position</t>
  </si>
  <si>
    <t xml:space="preserve">Also CV% &lt;= 6</t>
  </si>
  <si>
    <t xml:space="preserve">S3_DEN</t>
  </si>
  <si>
    <t xml:space="preserve">Final denier</t>
  </si>
  <si>
    <t xml:space="preserve">20 breaks</t>
  </si>
  <si>
    <t xml:space="preserve">Paired with S1_DEN</t>
  </si>
  <si>
    <t xml:space="preserve">S3_ELG</t>
  </si>
  <si>
    <t xml:space="preserve">Final elongation</t>
  </si>
  <si>
    <t xml:space="preserve">ISO 2062</t>
  </si>
  <si>
    <t xml:space="preserve">Loss vs S1_ELG &lt;= 8%</t>
  </si>
  <si>
    <t xml:space="preserve">S3_CONT</t>
  </si>
  <si>
    <t xml:space="preserve">Contamination / stain</t>
  </si>
  <si>
    <t xml:space="preserve">S3_MOIS</t>
  </si>
  <si>
    <t xml:space="preserve">Moisture</t>
  </si>
  <si>
    <t xml:space="preserve">0.30</t>
  </si>
  <si>
    <t xml:space="preserve">ISO 6741-1</t>
  </si>
  <si>
    <t xml:space="preserve">S3_OIL</t>
  </si>
  <si>
    <t xml:space="preserve">Oil percent - coning oil</t>
  </si>
  <si>
    <t xml:space="preserve">1.50</t>
  </si>
  <si>
    <t xml:space="preserve">2.00</t>
  </si>
  <si>
    <t xml:space="preserve">Solvent extraction</t>
  </si>
  <si>
    <t xml:space="preserve">TARGET IS A PLACEHOLDER - confirm applicator setting</t>
  </si>
  <si>
    <t xml:space="preserve">Code group</t>
  </si>
  <si>
    <t xml:space="preserve">Catalog type</t>
  </si>
  <si>
    <t xml:space="preserve">Group description</t>
  </si>
  <si>
    <t xml:space="preserve">Code</t>
  </si>
  <si>
    <t xml:space="preserve">Code description</t>
  </si>
  <si>
    <t xml:space="preserve">Grey scale rating ISO 105-A02 / A03</t>
  </si>
  <si>
    <t xml:space="preserve">GS10</t>
  </si>
  <si>
    <t xml:space="preserve">1 - severe change</t>
  </si>
  <si>
    <t xml:space="preserve">GS15</t>
  </si>
  <si>
    <t xml:space="preserve">1-2</t>
  </si>
  <si>
    <t xml:space="preserve">GS20</t>
  </si>
  <si>
    <t xml:space="preserve">GS25</t>
  </si>
  <si>
    <t xml:space="preserve">2-3</t>
  </si>
  <si>
    <t xml:space="preserve">GS30</t>
  </si>
  <si>
    <t xml:space="preserve">GS35</t>
  </si>
  <si>
    <t xml:space="preserve">3-4</t>
  </si>
  <si>
    <t xml:space="preserve">GS40</t>
  </si>
  <si>
    <t xml:space="preserve">4</t>
  </si>
  <si>
    <t xml:space="preserve">GS45</t>
  </si>
  <si>
    <t xml:space="preserve">4-5</t>
  </si>
  <si>
    <t xml:space="preserve">GS50</t>
  </si>
  <si>
    <t xml:space="preserve">5 - no change</t>
  </si>
  <si>
    <t xml:space="preserve">Pass / fail attribute</t>
  </si>
  <si>
    <t xml:space="preserve">PASS</t>
  </si>
  <si>
    <t xml:space="preserve">FAIL</t>
  </si>
  <si>
    <t xml:space="preserve">Fail</t>
  </si>
  <si>
    <t xml:space="preserve">Yarn grade - BLOCKED, see sheet 8</t>
  </si>
  <si>
    <t xml:space="preserve">AA</t>
  </si>
  <si>
    <t xml:space="preserve">Grade AA</t>
  </si>
  <si>
    <t xml:space="preserve">A</t>
  </si>
  <si>
    <t xml:space="preserve">Grade A</t>
  </si>
  <si>
    <t xml:space="preserve">B</t>
  </si>
  <si>
    <t xml:space="preserve">Grade B</t>
  </si>
  <si>
    <t xml:space="preserve">ZQC_DEF2</t>
  </si>
  <si>
    <t xml:space="preserve">9</t>
  </si>
  <si>
    <t xml:space="preserve">Defect codes - after dyeing</t>
  </si>
  <si>
    <t xml:space="preserve">D201</t>
  </si>
  <si>
    <t xml:space="preserve">Barre / streaky</t>
  </si>
  <si>
    <t xml:space="preserve">D202</t>
  </si>
  <si>
    <t xml:space="preserve">Tip dyeing</t>
  </si>
  <si>
    <t xml:space="preserve">D203</t>
  </si>
  <si>
    <t xml:space="preserve">Oil stain</t>
  </si>
  <si>
    <t xml:space="preserve">D204</t>
  </si>
  <si>
    <t xml:space="preserve">Rust stain</t>
  </si>
  <si>
    <t xml:space="preserve">D205</t>
  </si>
  <si>
    <t xml:space="preserve">Inside-outside variation</t>
  </si>
  <si>
    <t xml:space="preserve">D206</t>
  </si>
  <si>
    <t xml:space="preserve">Shade off - lighter</t>
  </si>
  <si>
    <t xml:space="preserve">D207</t>
  </si>
  <si>
    <t xml:space="preserve">Shade off - darker</t>
  </si>
  <si>
    <t xml:space="preserve">D208</t>
  </si>
  <si>
    <t xml:space="preserve">Dye spot / speck</t>
  </si>
  <si>
    <t xml:space="preserve">D209</t>
  </si>
  <si>
    <t xml:space="preserve">Crushed package</t>
  </si>
  <si>
    <t xml:space="preserve">ZQC_DEF3</t>
  </si>
  <si>
    <t xml:space="preserve">Defect codes - after winding</t>
  </si>
  <si>
    <t xml:space="preserve">D301</t>
  </si>
  <si>
    <t xml:space="preserve">D302</t>
  </si>
  <si>
    <t xml:space="preserve">Nose bulge</t>
  </si>
  <si>
    <t xml:space="preserve">D303</t>
  </si>
  <si>
    <t xml:space="preserve">Soft edge</t>
  </si>
  <si>
    <t xml:space="preserve">D304</t>
  </si>
  <si>
    <t xml:space="preserve">Hard edge</t>
  </si>
  <si>
    <t xml:space="preserve">D305</t>
  </si>
  <si>
    <t xml:space="preserve">Damaged cone</t>
  </si>
  <si>
    <t xml:space="preserve">D306</t>
  </si>
  <si>
    <t xml:space="preserve">Oil stain from winder</t>
  </si>
  <si>
    <t xml:space="preserve">D307</t>
  </si>
  <si>
    <t xml:space="preserve">Foreign fibre</t>
  </si>
  <si>
    <t xml:space="preserve">D308</t>
  </si>
  <si>
    <t xml:space="preserve">Broken filaments high</t>
  </si>
  <si>
    <t xml:space="preserve">D309</t>
  </si>
  <si>
    <t xml:space="preserve">Wrong label</t>
  </si>
  <si>
    <t xml:space="preserve">Description</t>
  </si>
  <si>
    <t xml:space="preserve">Valuation</t>
  </si>
  <si>
    <t xml:space="preserve">Applies to / note</t>
  </si>
  <si>
    <t xml:space="preserve">Grey scale - threshold set per characteristic in QP01</t>
  </si>
  <si>
    <t xml:space="preserve">Reject</t>
  </si>
  <si>
    <t xml:space="preserve">Default shown is for a 'min 4' characteristic. For 'min 3' (S2_RUBW) GS30 and GS35 also accept; for 'min 4-5' (S2_INOUT) GS40 rejects. Create three variants rather than one - see note below.</t>
  </si>
  <si>
    <t xml:space="preserve">see note</t>
  </si>
  <si>
    <t xml:space="preserve">Accept</t>
  </si>
  <si>
    <t xml:space="preserve">Pass / fail</t>
  </si>
  <si>
    <t xml:space="preserve">All attribute characteristics</t>
  </si>
  <si>
    <t xml:space="preserve">Yarn grade</t>
  </si>
  <si>
    <t xml:space="preserve">BLOCKED - confirm whether grade B is acceptable for any product</t>
  </si>
  <si>
    <t xml:space="preserve">Three grey-scale variants are required, because the acceptance threshold differs by characteristic:</t>
  </si>
  <si>
    <t xml:space="preserve">ZQC_GREY3</t>
  </si>
  <si>
    <t xml:space="preserve">accept GS30 and above (min 3)</t>
  </si>
  <si>
    <t xml:space="preserve">ZQC_GREY4</t>
  </si>
  <si>
    <t xml:space="preserve">accept GS40 and above (min 4)</t>
  </si>
  <si>
    <t xml:space="preserve">S2_P2P, S2_B2B, S2_LEVEL, S2_WFC, S2_RUBD, S2_PSPA, S2_PSPB, S2_SUBL</t>
  </si>
  <si>
    <t xml:space="preserve">ZQC_GREY45</t>
  </si>
  <si>
    <t xml:space="preserve">accept GS45 and above (min 4-5)</t>
  </si>
  <si>
    <t xml:space="preserve">S2_WFS (min 3-4) needs a fourth variant ZQC_GREY35 accepting GS35 and above.</t>
  </si>
  <si>
    <t xml:space="preserve">Plan / stage</t>
  </si>
  <si>
    <t xml:space="preserve">Insp. type</t>
  </si>
  <si>
    <t xml:space="preserve">Op.</t>
  </si>
  <si>
    <t xml:space="preserve">Seq.</t>
  </si>
  <si>
    <t xml:space="preserve">Short text</t>
  </si>
  <si>
    <t xml:space="preserve">Sampling proc.</t>
  </si>
  <si>
    <t xml:space="preserve">Insp. scope</t>
  </si>
  <si>
    <t xml:space="preserve">Notes</t>
  </si>
  <si>
    <t xml:space="preserve">ZQC_PLAN_S1 - Raw material</t>
  </si>
  <si>
    <t xml:space="preserve">01</t>
  </si>
  <si>
    <t xml:space="preserve">0010</t>
  </si>
  <si>
    <t xml:space="preserve">ZQC_FIXED</t>
  </si>
  <si>
    <t xml:space="preserve">0020</t>
  </si>
  <si>
    <t xml:space="preserve">0030</t>
  </si>
  <si>
    <t xml:space="preserve">0040</t>
  </si>
  <si>
    <t xml:space="preserve">ZQC_ATTR</t>
  </si>
  <si>
    <t xml:space="preserve">0050</t>
  </si>
  <si>
    <t xml:space="preserve">0060</t>
  </si>
  <si>
    <t xml:space="preserve">0070</t>
  </si>
  <si>
    <t xml:space="preserve">0080</t>
  </si>
  <si>
    <t xml:space="preserve">ZQC_PLAN_S2 - After dyeing</t>
  </si>
  <si>
    <t xml:space="preserve">03</t>
  </si>
  <si>
    <t xml:space="preserve">0090</t>
  </si>
  <si>
    <t xml:space="preserve">0100</t>
  </si>
  <si>
    <t xml:space="preserve">0110</t>
  </si>
  <si>
    <t xml:space="preserve">0120</t>
  </si>
  <si>
    <t xml:space="preserve">0130</t>
  </si>
  <si>
    <t xml:space="preserve">0140</t>
  </si>
  <si>
    <t xml:space="preserve">0150</t>
  </si>
  <si>
    <t xml:space="preserve">0160</t>
  </si>
  <si>
    <t xml:space="preserve">0170</t>
  </si>
  <si>
    <t xml:space="preserve">0180</t>
  </si>
  <si>
    <t xml:space="preserve">0190</t>
  </si>
  <si>
    <t xml:space="preserve">0200</t>
  </si>
  <si>
    <t xml:space="preserve">0210</t>
  </si>
  <si>
    <t xml:space="preserve">0220</t>
  </si>
  <si>
    <t xml:space="preserve">0230</t>
  </si>
  <si>
    <t xml:space="preserve">ZQC_PLAN_S3 - After winding</t>
  </si>
  <si>
    <t xml:space="preserve">04</t>
  </si>
  <si>
    <t xml:space="preserve">0240</t>
  </si>
  <si>
    <t xml:space="preserve">0250</t>
  </si>
  <si>
    <t xml:space="preserve">0260</t>
  </si>
  <si>
    <t xml:space="preserve">0270</t>
  </si>
  <si>
    <t xml:space="preserve">0280</t>
  </si>
  <si>
    <t xml:space="preserve">0290</t>
  </si>
  <si>
    <t xml:space="preserve">0300</t>
  </si>
  <si>
    <t xml:space="preserve">0310</t>
  </si>
  <si>
    <t xml:space="preserve">0320</t>
  </si>
  <si>
    <t xml:space="preserve">0330</t>
  </si>
  <si>
    <t xml:space="preserve">0340</t>
  </si>
  <si>
    <t xml:space="preserve">0350</t>
  </si>
  <si>
    <t xml:space="preserve">0360</t>
  </si>
  <si>
    <t xml:space="preserve">Sampling procedures for QDV1</t>
  </si>
  <si>
    <t xml:space="preserve">Procedure</t>
  </si>
  <si>
    <t xml:space="preserve">Type</t>
  </si>
  <si>
    <t xml:space="preserve">Basis</t>
  </si>
  <si>
    <t xml:space="preserve">Used by</t>
  </si>
  <si>
    <t xml:space="preserve">Attribute, single sampling</t>
  </si>
  <si>
    <t xml:space="preserve">Acceptance number</t>
  </si>
  <si>
    <t xml:space="preserve">ISO 2859-1, GIL II, normal severity</t>
  </si>
  <si>
    <t xml:space="preserve">All pass/fail and defect-count characteristics</t>
  </si>
  <si>
    <t xml:space="preserve">Fixed sample size</t>
  </si>
  <si>
    <t xml:space="preserve">Manual / spec limits</t>
  </si>
  <si>
    <t xml:space="preserve">Fixed n per the Sampling column of sheet 2</t>
  </si>
  <si>
    <t xml:space="preserve">Quantitative laboratory tests</t>
  </si>
  <si>
    <t xml:space="preserve">ZQC_100</t>
  </si>
  <si>
    <t xml:space="preserve">100 percent</t>
  </si>
  <si>
    <t xml:space="preserve">Manual</t>
  </si>
  <si>
    <t xml:space="preserve">Every unit</t>
  </si>
  <si>
    <t xml:space="preserve">S1_IDT only</t>
  </si>
  <si>
    <t xml:space="preserve">ISO 2859-1 - General Inspection Level II, normal severity</t>
  </si>
  <si>
    <t xml:space="preserve">Lot size (packages)</t>
  </si>
  <si>
    <t xml:space="preserve">Code letter</t>
  </si>
  <si>
    <t xml:space="preserve">Sample size</t>
  </si>
  <si>
    <t xml:space="preserve">Ac / Re at AQL 1.0</t>
  </si>
  <si>
    <t xml:space="preserve">Ac / Re at AQL 2.5</t>
  </si>
  <si>
    <t xml:space="preserve">Ac / Re at AQL 4.0</t>
  </si>
  <si>
    <t xml:space="preserve">2 - 8</t>
  </si>
  <si>
    <t xml:space="preserve">0 / 1</t>
  </si>
  <si>
    <t xml:space="preserve">9 - 15</t>
  </si>
  <si>
    <t xml:space="preserve">16 - 25</t>
  </si>
  <si>
    <t xml:space="preserve">C</t>
  </si>
  <si>
    <t xml:space="preserve">26 - 50</t>
  </si>
  <si>
    <t xml:space="preserve">D</t>
  </si>
  <si>
    <t xml:space="preserve">1 / 2</t>
  </si>
  <si>
    <t xml:space="preserve">51 - 90</t>
  </si>
  <si>
    <t xml:space="preserve">E</t>
  </si>
  <si>
    <t xml:space="preserve">91 - 150</t>
  </si>
  <si>
    <t xml:space="preserve">F</t>
  </si>
  <si>
    <t xml:space="preserve">2 / 3</t>
  </si>
  <si>
    <t xml:space="preserve">151 - 280</t>
  </si>
  <si>
    <t xml:space="preserve">G</t>
  </si>
  <si>
    <t xml:space="preserve">3 / 4</t>
  </si>
  <si>
    <t xml:space="preserve">281 - 500</t>
  </si>
  <si>
    <t xml:space="preserve">H</t>
  </si>
  <si>
    <t xml:space="preserve">5 / 6</t>
  </si>
  <si>
    <t xml:space="preserve">501 - 1200</t>
  </si>
  <si>
    <t xml:space="preserve">J</t>
  </si>
  <si>
    <t xml:space="preserve">7 / 8</t>
  </si>
  <si>
    <t xml:space="preserve">AQL assignment</t>
  </si>
  <si>
    <t xml:space="preserve">AQL 1.0 - critical</t>
  </si>
  <si>
    <t xml:space="preserve">S1_IDT, S2_HCHO, S2_AZO - identity and chemical compliance</t>
  </si>
  <si>
    <t xml:space="preserve">AQL 2.5 - major</t>
  </si>
  <si>
    <t xml:space="preserve">Shade, package integrity, broken filaments, contamination</t>
  </si>
  <si>
    <t xml:space="preserve">AQL 4.0 - minor</t>
  </si>
  <si>
    <t xml:space="preserve">Cosmetic only</t>
  </si>
  <si>
    <t xml:space="preserve">Lot size is the cheese count (ZPP_BATCHN.CHEESES) or the cone count from the packing record, so the app derives the sample size itself.</t>
  </si>
  <si>
    <t xml:space="preserve">Trigger</t>
  </si>
  <si>
    <t xml:space="preserve">Stock / process consequence</t>
  </si>
  <si>
    <t xml:space="preserve">Follow-on</t>
  </si>
  <si>
    <t xml:space="preserve">All tier-1 characteristics within limits; recipe holds a valid tier-2 qualification</t>
  </si>
  <si>
    <t xml:space="preserve">Unrestricted use; released to next stage</t>
  </si>
  <si>
    <t xml:space="preserve">A1</t>
  </si>
  <si>
    <t xml:space="preserve">Accept with deviation</t>
  </si>
  <si>
    <t xml:space="preserve">Marginal result; concession signed by QC Manager</t>
  </si>
  <si>
    <t xml:space="preserve">Unrestricted; deviation note carried on the batch</t>
  </si>
  <si>
    <t xml:space="preserve">Requires approver authorisation</t>
  </si>
  <si>
    <t xml:space="preserve">RD</t>
  </si>
  <si>
    <t xml:space="preserve">Re-dye / correct</t>
  </si>
  <si>
    <t xml:space="preserve">delta E above 1.0 but shade correctable; unlevelness at grade 3</t>
  </si>
  <si>
    <t xml:space="preserve">Blocked; batch reopened for correction</t>
  </si>
  <si>
    <t xml:space="preserve">WIP Batch Close (reason QC-REDYE) then Cancel Production Confirmation</t>
  </si>
  <si>
    <t xml:space="preserve">ST</t>
  </si>
  <si>
    <t xml:space="preserve">Strip and re-dye</t>
  </si>
  <si>
    <t xml:space="preserve">Shade not correctable by topping; severe barre</t>
  </si>
  <si>
    <t xml:space="preserve">Blocked; stripping process</t>
  </si>
  <si>
    <t xml:space="preserve">Mandatory S3_ELG re-check after</t>
  </si>
  <si>
    <t xml:space="preserve">DG</t>
  </si>
  <si>
    <t xml:space="preserve">Downgrade</t>
  </si>
  <si>
    <t xml:space="preserve">Cosmetic or minor faults; yarn sound</t>
  </si>
  <si>
    <t xml:space="preserve">Restricted use; B-grade stock</t>
  </si>
  <si>
    <t xml:space="preserve">R</t>
  </si>
  <si>
    <t xml:space="preserve">Chemical compliance failure; identity failure; elongation loss above 8%</t>
  </si>
  <si>
    <t xml:space="preserve">Blocked; scrap or supplier return</t>
  </si>
  <si>
    <t xml:space="preserve">Code group ZQC_UD, catalog type 3. Two corrections maximum before a QC Manager signature is required for a third.</t>
  </si>
  <si>
    <t xml:space="preserve">#</t>
  </si>
  <si>
    <t xml:space="preserve">Blocks</t>
  </si>
  <si>
    <t xml:space="preserve">Item</t>
  </si>
  <si>
    <t xml:space="preserve">What is needed</t>
  </si>
  <si>
    <t xml:space="preserve">Your answer</t>
  </si>
  <si>
    <t xml:space="preserve">Grade code list</t>
  </si>
  <si>
    <t xml:space="preserve">Is Grade supplier-declared or QC-assigned? If QC-assigned, the grade definitions and which grades are acceptable. Sheet 3 assumes AA / A / B with B rejected.</t>
  </si>
  <si>
    <t xml:space="preserve">Coning oil target</t>
  </si>
  <si>
    <t xml:space="preserve">The 1.00-2.00% in sheet 2 is a placeholder. Replace with your winder applicator setting and tolerance.</t>
  </si>
  <si>
    <t xml:space="preserve">Units</t>
  </si>
  <si>
    <t xml:space="preserve">DTEX, CN, G/CM3</t>
  </si>
  <si>
    <t xml:space="preserve">These units are not in the SAP standard set. Confirm they exist in CUNI or have Basis create them.</t>
  </si>
  <si>
    <t xml:space="preserve">S2_HCHO / S2_AZO</t>
  </si>
  <si>
    <t xml:space="preserve">External or in-house</t>
  </si>
  <si>
    <t xml:space="preserve">If external, the app captures a certificate reference rather than a live measurement, and the screen design changes.</t>
  </si>
  <si>
    <t xml:space="preserve">5</t>
  </si>
  <si>
    <t xml:space="preserve">Stage 1 frequency</t>
  </si>
  <si>
    <t xml:space="preserve">Deliveries per day</t>
  </si>
  <si>
    <t xml:space="preserve">Stage 1 is per supplier delivery lot, not per dye batch. The number drives the daily volume estimate.</t>
  </si>
  <si>
    <t xml:space="preserve">6</t>
  </si>
  <si>
    <t xml:space="preserve">All limits</t>
  </si>
  <si>
    <t xml:space="preserve">Process capability</t>
  </si>
  <si>
    <t xml:space="preserve">Every limit is an industry-typical proposal. Check each against your own capability - a limit the plant cannot meet teaches operators to ignore the system.</t>
  </si>
  <si>
    <t xml:space="preserve">7</t>
  </si>
  <si>
    <t xml:space="preserve">Range limit</t>
  </si>
  <si>
    <t xml:space="preserve">Spec v2 adds range &lt;= 1.5% across 5 packages as a partial substitute for the dye uniformity test that was cut. Confirm this is workable.</t>
  </si>
  <si>
    <t xml:space="preserve">8</t>
  </si>
  <si>
    <t xml:space="preserve">Recipe ID</t>
  </si>
  <si>
    <t xml:space="preserve">Tier 2 automation</t>
  </si>
  <si>
    <t xml:space="preserve">Is the dye recipe separately identified in SAP, or only DYE_CODE? Tier 2 skipping depends on knowing the first batch of a recipe.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</si>
</sst>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324F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2324F"/>
      <name val="Courier New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2324F"/>
      <name val="Arial"/>
      <family val="0"/>
      <charset val="1"/>
    </font>
    <font>
      <b val="true"/>
      <sz val="11"/>
      <color rgb="FF12324F"/>
      <name val="Arial"/>
      <family val="0"/>
      <charset val="1"/>
    </font>
    <font>
      <b val="true"/>
      <sz val="10"/>
      <color rgb="FF147A6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7A6E"/>
        <bgColor rgb="FF008080"/>
      </patternFill>
    </fill>
    <fill>
      <patternFill patternType="solid">
        <fgColor rgb="FFFFF3E0"/>
        <bgColor rgb="FFFDF0F0"/>
      </patternFill>
    </fill>
    <fill>
      <patternFill patternType="solid">
        <fgColor rgb="FF12324F"/>
        <bgColor rgb="FF333333"/>
      </patternFill>
    </fill>
    <fill>
      <patternFill patternType="solid">
        <fgColor rgb="FFF5F8F8"/>
        <bgColor rgb="FFF1F9F2"/>
      </patternFill>
    </fill>
    <fill>
      <patternFill patternType="solid">
        <fgColor rgb="FFFDF0F0"/>
        <bgColor rgb="FFFFF3E0"/>
      </patternFill>
    </fill>
    <fill>
      <patternFill patternType="solid">
        <fgColor rgb="FFF1F9F2"/>
        <bgColor rgb="FFF5F8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2324F"/>
          <bgColor rgb="FF000000"/>
        </patternFill>
      </fill>
    </dxf>
    <dxf>
      <fill>
        <patternFill patternType="solid">
          <fgColor rgb="FFF5F8F8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7A6E"/>
      <rgbColor rgb="FFC0C0C0"/>
      <rgbColor rgb="FF808080"/>
      <rgbColor rgb="FF9999FF"/>
      <rgbColor rgb="FF993366"/>
      <rgbColor rgb="FFFFF3E0"/>
      <rgbColor rgb="FFF1F9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8"/>
      <rgbColor rgb="FFCCFFCC"/>
      <rgbColor rgb="FFFD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12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</row>
    <row r="5" customFormat="false" ht="15" hidden="false" customHeight="false" outlineLevel="0" collapsed="false">
      <c r="B5" s="5" t="s">
        <v>3</v>
      </c>
      <c r="C5" s="6"/>
      <c r="D5" s="6" t="s">
        <v>4</v>
      </c>
    </row>
    <row r="6" customFormat="false" ht="15" hidden="false" customHeight="false" outlineLevel="0" collapsed="false">
      <c r="B6" s="5" t="s">
        <v>5</v>
      </c>
      <c r="C6" s="6"/>
      <c r="D6" s="6" t="s">
        <v>6</v>
      </c>
    </row>
    <row r="7" customFormat="false" ht="15" hidden="false" customHeight="false" outlineLevel="0" collapsed="false">
      <c r="B7" s="5" t="s">
        <v>7</v>
      </c>
      <c r="C7" s="6"/>
      <c r="D7" s="6" t="s">
        <v>8</v>
      </c>
    </row>
    <row r="8" customFormat="false" ht="15" hidden="false" customHeight="false" outlineLevel="0" collapsed="false">
      <c r="B8" s="5" t="s">
        <v>9</v>
      </c>
      <c r="C8" s="6"/>
      <c r="D8" s="6" t="s">
        <v>10</v>
      </c>
    </row>
    <row r="9" customFormat="false" ht="15" hidden="false" customHeight="false" outlineLevel="0" collapsed="false">
      <c r="B9" s="5" t="s">
        <v>11</v>
      </c>
      <c r="C9" s="6"/>
      <c r="D9" s="6" t="s">
        <v>12</v>
      </c>
    </row>
    <row r="10" customFormat="false" ht="15" hidden="false" customHeight="false" outlineLevel="0" collapsed="false">
      <c r="B10" s="5" t="s">
        <v>13</v>
      </c>
      <c r="C10" s="6"/>
      <c r="D10" s="6" t="s">
        <v>14</v>
      </c>
    </row>
    <row r="11" customFormat="false" ht="15" hidden="false" customHeight="false" outlineLevel="0" collapsed="false">
      <c r="B11" s="5" t="s">
        <v>15</v>
      </c>
      <c r="C11" s="6"/>
      <c r="D11" s="6" t="s">
        <v>16</v>
      </c>
    </row>
    <row r="13" customFormat="false" ht="15" hidden="false" customHeight="false" outlineLevel="0" collapsed="false">
      <c r="B13" s="3" t="s">
        <v>17</v>
      </c>
      <c r="C13" s="4"/>
      <c r="D13" s="4"/>
    </row>
    <row r="14" customFormat="false" ht="15" hidden="false" customHeight="false" outlineLevel="0" collapsed="false">
      <c r="B14" s="6" t="s">
        <v>18</v>
      </c>
      <c r="C14" s="7" t="n">
        <f aca="false">COUNTA('2 MIC Master'!B2:B37)</f>
        <v>36</v>
      </c>
    </row>
    <row r="15" customFormat="false" ht="15" hidden="false" customHeight="false" outlineLevel="0" collapsed="false">
      <c r="B15" s="6" t="s">
        <v>19</v>
      </c>
      <c r="C15" s="7" t="n">
        <f aca="false">COUNTIF('2 MIC Master'!A2:A37,"1")</f>
        <v>8</v>
      </c>
    </row>
    <row r="16" customFormat="false" ht="15" hidden="false" customHeight="false" outlineLevel="0" collapsed="false">
      <c r="B16" s="6" t="s">
        <v>20</v>
      </c>
      <c r="C16" s="7" t="n">
        <f aca="false">COUNTIF('2 MIC Master'!A2:A37,"2")</f>
        <v>15</v>
      </c>
    </row>
    <row r="17" customFormat="false" ht="15" hidden="false" customHeight="false" outlineLevel="0" collapsed="false">
      <c r="B17" s="6" t="s">
        <v>21</v>
      </c>
      <c r="C17" s="7" t="n">
        <f aca="false">COUNTIF('2 MIC Master'!A2:A37,"3")</f>
        <v>13</v>
      </c>
    </row>
    <row r="18" customFormat="false" ht="15" hidden="false" customHeight="false" outlineLevel="0" collapsed="false">
      <c r="B18" s="6" t="s">
        <v>22</v>
      </c>
      <c r="C18" s="7" t="n">
        <f aca="false">COUNTIF('2 MIC Master'!D2:D37,"Quantitative")</f>
        <v>18</v>
      </c>
    </row>
    <row r="19" customFormat="false" ht="15" hidden="false" customHeight="false" outlineLevel="0" collapsed="false">
      <c r="B19" s="6" t="s">
        <v>23</v>
      </c>
      <c r="C19" s="7" t="n">
        <f aca="false">COUNTIF('2 MIC Master'!D2:D37,"Qualitative")</f>
        <v>18</v>
      </c>
    </row>
    <row r="20" customFormat="false" ht="15" hidden="false" customHeight="false" outlineLevel="0" collapsed="false">
      <c r="B20" s="6" t="s">
        <v>24</v>
      </c>
      <c r="C20" s="7" t="n">
        <f aca="false">COUNTIF('2 MIC Master'!L2:L37,"1")</f>
        <v>23</v>
      </c>
    </row>
    <row r="21" customFormat="false" ht="15" hidden="false" customHeight="false" outlineLevel="0" collapsed="false">
      <c r="B21" s="6" t="s">
        <v>25</v>
      </c>
      <c r="C21" s="7" t="n">
        <f aca="false">COUNTIF('2 MIC Master'!L2:L37,"2")</f>
        <v>11</v>
      </c>
    </row>
    <row r="22" customFormat="false" ht="15" hidden="false" customHeight="false" outlineLevel="0" collapsed="false">
      <c r="B22" s="6" t="s">
        <v>26</v>
      </c>
      <c r="C22" s="7" t="n">
        <f aca="false">COUNTIF('2 MIC Master'!L2:L37,"3")</f>
        <v>2</v>
      </c>
    </row>
    <row r="24" customFormat="false" ht="15" hidden="false" customHeight="false" outlineLevel="0" collapsed="false">
      <c r="B24" s="3" t="s">
        <v>27</v>
      </c>
      <c r="C24" s="4"/>
      <c r="D24" s="4"/>
    </row>
    <row r="25" customFormat="false" ht="15" hidden="false" customHeight="false" outlineLevel="0" collapsed="false">
      <c r="B25" s="5" t="s">
        <v>28</v>
      </c>
      <c r="C25" s="8"/>
      <c r="D25" s="6" t="s">
        <v>29</v>
      </c>
    </row>
    <row r="26" customFormat="false" ht="15" hidden="false" customHeight="false" outlineLevel="0" collapsed="false">
      <c r="B26" s="5" t="s">
        <v>30</v>
      </c>
      <c r="D26" s="6" t="s">
        <v>31</v>
      </c>
    </row>
    <row r="27" customFormat="false" ht="15" hidden="false" customHeight="false" outlineLevel="0" collapsed="false">
      <c r="B27" s="5" t="s">
        <v>32</v>
      </c>
      <c r="D27" s="6" t="s">
        <v>33</v>
      </c>
    </row>
    <row r="29" customFormat="false" ht="15" hidden="false" customHeight="false" outlineLevel="0" collapsed="false">
      <c r="B29" s="3" t="s">
        <v>34</v>
      </c>
      <c r="C29" s="4"/>
      <c r="D29" s="4"/>
    </row>
    <row r="30" customFormat="false" ht="22.35" hidden="false" customHeight="true" outlineLevel="0" collapsed="false">
      <c r="B30" s="9" t="s">
        <v>35</v>
      </c>
      <c r="C30" s="9"/>
      <c r="D30" s="9"/>
    </row>
    <row r="33" customFormat="false" ht="15" hidden="false" customHeight="false" outlineLevel="0" collapsed="false">
      <c r="B33" s="3" t="s">
        <v>36</v>
      </c>
      <c r="C33" s="4"/>
      <c r="D33" s="4"/>
    </row>
    <row r="34" customFormat="false" ht="15" hidden="false" customHeight="true" outlineLevel="0" collapsed="false">
      <c r="B34" s="9" t="s">
        <v>37</v>
      </c>
      <c r="C34" s="9"/>
      <c r="D34" s="9"/>
    </row>
    <row r="35" customFormat="false" ht="15" hidden="false" customHeight="true" outlineLevel="0" collapsed="false">
      <c r="B35" s="9" t="s">
        <v>38</v>
      </c>
      <c r="C35" s="9"/>
      <c r="D35" s="9"/>
    </row>
    <row r="36" customFormat="false" ht="15" hidden="false" customHeight="true" outlineLevel="0" collapsed="false">
      <c r="B36" s="9" t="s">
        <v>39</v>
      </c>
      <c r="C36" s="9"/>
      <c r="D36" s="9"/>
    </row>
    <row r="37" customFormat="false" ht="15" hidden="false" customHeight="true" outlineLevel="0" collapsed="false">
      <c r="B37" s="9" t="s">
        <v>40</v>
      </c>
      <c r="C37" s="9"/>
      <c r="D37" s="9"/>
    </row>
    <row r="38" customFormat="false" ht="15" hidden="false" customHeight="true" outlineLevel="0" collapsed="false">
      <c r="B38" s="9" t="s">
        <v>41</v>
      </c>
      <c r="C38" s="9"/>
      <c r="D38" s="9"/>
    </row>
  </sheetData>
  <mergeCells count="6">
    <mergeCell ref="B30:D30"/>
    <mergeCell ref="B34:D34"/>
    <mergeCell ref="B35:D35"/>
    <mergeCell ref="B36:D36"/>
    <mergeCell ref="B37:D37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6"/>
    <col collapsed="false" customWidth="true" hidden="false" outlineLevel="0" max="13" min="13" style="0" width="26"/>
    <col collapsed="false" customWidth="true" hidden="false" outlineLevel="0" max="14" min="14" style="0" width="24"/>
    <col collapsed="false" customWidth="true" hidden="false" outlineLevel="0" max="15" min="15" style="0" width="42"/>
  </cols>
  <sheetData>
    <row r="1" customFormat="false" ht="30" hidden="false" customHeight="true" outlineLevel="0" collapsed="false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 t="s">
        <v>51</v>
      </c>
      <c r="K1" s="10" t="s">
        <v>52</v>
      </c>
      <c r="L1" s="10" t="s">
        <v>53</v>
      </c>
      <c r="M1" s="10" t="s">
        <v>54</v>
      </c>
      <c r="N1" s="10" t="s">
        <v>55</v>
      </c>
      <c r="O1" s="10" t="s">
        <v>56</v>
      </c>
    </row>
    <row r="2" customFormat="false" ht="15" hidden="false" customHeight="false" outlineLevel="0" collapsed="false">
      <c r="A2" s="11" t="s">
        <v>57</v>
      </c>
      <c r="B2" s="12" t="s">
        <v>58</v>
      </c>
      <c r="C2" s="13" t="s">
        <v>59</v>
      </c>
      <c r="D2" s="11" t="s">
        <v>22</v>
      </c>
      <c r="E2" s="11" t="n">
        <v>1</v>
      </c>
      <c r="F2" s="11" t="s">
        <v>60</v>
      </c>
      <c r="G2" s="11" t="s">
        <v>61</v>
      </c>
      <c r="H2" s="11" t="s">
        <v>62</v>
      </c>
      <c r="I2" s="11" t="s">
        <v>63</v>
      </c>
      <c r="J2" s="11"/>
      <c r="K2" s="11"/>
      <c r="L2" s="11" t="s">
        <v>57</v>
      </c>
      <c r="M2" s="13" t="s">
        <v>64</v>
      </c>
      <c r="N2" s="13" t="s">
        <v>65</v>
      </c>
      <c r="O2" s="13"/>
    </row>
    <row r="3" customFormat="false" ht="15" hidden="false" customHeight="false" outlineLevel="0" collapsed="false">
      <c r="A3" s="14" t="s">
        <v>57</v>
      </c>
      <c r="B3" s="15" t="s">
        <v>66</v>
      </c>
      <c r="C3" s="16" t="s">
        <v>67</v>
      </c>
      <c r="D3" s="14" t="s">
        <v>22</v>
      </c>
      <c r="E3" s="14" t="n">
        <v>1</v>
      </c>
      <c r="F3" s="14" t="s">
        <v>68</v>
      </c>
      <c r="G3" s="14" t="s">
        <v>69</v>
      </c>
      <c r="H3" s="14" t="s">
        <v>70</v>
      </c>
      <c r="I3" s="14" t="s">
        <v>71</v>
      </c>
      <c r="J3" s="14"/>
      <c r="K3" s="14"/>
      <c r="L3" s="14" t="s">
        <v>57</v>
      </c>
      <c r="M3" s="16" t="s">
        <v>72</v>
      </c>
      <c r="N3" s="16" t="s">
        <v>65</v>
      </c>
      <c r="O3" s="16"/>
    </row>
    <row r="4" customFormat="false" ht="15" hidden="false" customHeight="false" outlineLevel="0" collapsed="false">
      <c r="A4" s="11" t="s">
        <v>57</v>
      </c>
      <c r="B4" s="12" t="s">
        <v>73</v>
      </c>
      <c r="C4" s="13" t="s">
        <v>74</v>
      </c>
      <c r="D4" s="11" t="s">
        <v>22</v>
      </c>
      <c r="E4" s="11" t="n">
        <v>1</v>
      </c>
      <c r="F4" s="11" t="s">
        <v>68</v>
      </c>
      <c r="G4" s="11" t="s">
        <v>75</v>
      </c>
      <c r="H4" s="11" t="s">
        <v>76</v>
      </c>
      <c r="I4" s="11" t="s">
        <v>77</v>
      </c>
      <c r="J4" s="11"/>
      <c r="K4" s="11"/>
      <c r="L4" s="11" t="s">
        <v>57</v>
      </c>
      <c r="M4" s="13" t="s">
        <v>78</v>
      </c>
      <c r="N4" s="13" t="s">
        <v>79</v>
      </c>
      <c r="O4" s="13" t="s">
        <v>80</v>
      </c>
    </row>
    <row r="5" customFormat="false" ht="15" hidden="false" customHeight="false" outlineLevel="0" collapsed="false">
      <c r="A5" s="14" t="s">
        <v>57</v>
      </c>
      <c r="B5" s="15" t="s">
        <v>81</v>
      </c>
      <c r="C5" s="16" t="s">
        <v>82</v>
      </c>
      <c r="D5" s="14" t="s">
        <v>22</v>
      </c>
      <c r="E5" s="14" t="n">
        <v>0</v>
      </c>
      <c r="F5" s="14" t="s">
        <v>83</v>
      </c>
      <c r="G5" s="14" t="s">
        <v>84</v>
      </c>
      <c r="H5" s="14"/>
      <c r="I5" s="14" t="s">
        <v>85</v>
      </c>
      <c r="J5" s="14"/>
      <c r="K5" s="14"/>
      <c r="L5" s="14" t="s">
        <v>57</v>
      </c>
      <c r="M5" s="16" t="s">
        <v>86</v>
      </c>
      <c r="N5" s="16" t="s">
        <v>87</v>
      </c>
      <c r="O5" s="16"/>
    </row>
    <row r="6" customFormat="false" ht="15" hidden="false" customHeight="false" outlineLevel="0" collapsed="false">
      <c r="A6" s="11" t="s">
        <v>57</v>
      </c>
      <c r="B6" s="12" t="s">
        <v>88</v>
      </c>
      <c r="C6" s="13" t="s">
        <v>89</v>
      </c>
      <c r="D6" s="11" t="s">
        <v>22</v>
      </c>
      <c r="E6" s="11" t="n">
        <v>2</v>
      </c>
      <c r="F6" s="11" t="s">
        <v>90</v>
      </c>
      <c r="G6" s="11" t="s">
        <v>91</v>
      </c>
      <c r="H6" s="11" t="s">
        <v>92</v>
      </c>
      <c r="I6" s="11" t="s">
        <v>93</v>
      </c>
      <c r="J6" s="11"/>
      <c r="K6" s="11"/>
      <c r="L6" s="11" t="s">
        <v>57</v>
      </c>
      <c r="M6" s="13" t="s">
        <v>94</v>
      </c>
      <c r="N6" s="13" t="s">
        <v>87</v>
      </c>
      <c r="O6" s="13"/>
    </row>
    <row r="7" customFormat="false" ht="15" hidden="false" customHeight="false" outlineLevel="0" collapsed="false">
      <c r="A7" s="14" t="s">
        <v>57</v>
      </c>
      <c r="B7" s="15" t="s">
        <v>95</v>
      </c>
      <c r="C7" s="16" t="s">
        <v>96</v>
      </c>
      <c r="D7" s="14" t="s">
        <v>22</v>
      </c>
      <c r="E7" s="14" t="n">
        <v>2</v>
      </c>
      <c r="F7" s="14" t="s">
        <v>97</v>
      </c>
      <c r="G7" s="14" t="s">
        <v>61</v>
      </c>
      <c r="H7" s="14" t="s">
        <v>98</v>
      </c>
      <c r="I7" s="14" t="s">
        <v>99</v>
      </c>
      <c r="J7" s="14"/>
      <c r="K7" s="14"/>
      <c r="L7" s="14" t="s">
        <v>57</v>
      </c>
      <c r="M7" s="16" t="s">
        <v>100</v>
      </c>
      <c r="N7" s="16" t="s">
        <v>87</v>
      </c>
      <c r="O7" s="16"/>
    </row>
    <row r="8" customFormat="false" ht="15" hidden="false" customHeight="false" outlineLevel="0" collapsed="false">
      <c r="A8" s="17" t="s">
        <v>57</v>
      </c>
      <c r="B8" s="18" t="s">
        <v>101</v>
      </c>
      <c r="C8" s="19" t="s">
        <v>102</v>
      </c>
      <c r="D8" s="17" t="s">
        <v>23</v>
      </c>
      <c r="E8" s="17"/>
      <c r="F8" s="17"/>
      <c r="G8" s="17" t="s">
        <v>103</v>
      </c>
      <c r="H8" s="17"/>
      <c r="I8" s="17"/>
      <c r="J8" s="17" t="s">
        <v>57</v>
      </c>
      <c r="K8" s="17" t="s">
        <v>104</v>
      </c>
      <c r="L8" s="17" t="s">
        <v>57</v>
      </c>
      <c r="M8" s="19" t="s">
        <v>105</v>
      </c>
      <c r="N8" s="19" t="s">
        <v>87</v>
      </c>
      <c r="O8" s="19" t="s">
        <v>106</v>
      </c>
    </row>
    <row r="9" customFormat="false" ht="15" hidden="false" customHeight="false" outlineLevel="0" collapsed="false">
      <c r="A9" s="14" t="s">
        <v>57</v>
      </c>
      <c r="B9" s="15" t="s">
        <v>107</v>
      </c>
      <c r="C9" s="16" t="s">
        <v>108</v>
      </c>
      <c r="D9" s="14" t="s">
        <v>23</v>
      </c>
      <c r="E9" s="14"/>
      <c r="F9" s="14"/>
      <c r="G9" s="14" t="s">
        <v>109</v>
      </c>
      <c r="H9" s="14"/>
      <c r="I9" s="14"/>
      <c r="J9" s="14" t="s">
        <v>57</v>
      </c>
      <c r="K9" s="14" t="s">
        <v>110</v>
      </c>
      <c r="L9" s="14" t="s">
        <v>57</v>
      </c>
      <c r="M9" s="16" t="s">
        <v>111</v>
      </c>
      <c r="N9" s="16" t="s">
        <v>112</v>
      </c>
      <c r="O9" s="16" t="s">
        <v>113</v>
      </c>
    </row>
    <row r="10" customFormat="false" ht="15" hidden="false" customHeight="false" outlineLevel="0" collapsed="false">
      <c r="A10" s="11" t="s">
        <v>85</v>
      </c>
      <c r="B10" s="12" t="s">
        <v>114</v>
      </c>
      <c r="C10" s="13" t="s">
        <v>115</v>
      </c>
      <c r="D10" s="11" t="s">
        <v>22</v>
      </c>
      <c r="E10" s="11" t="n">
        <v>2</v>
      </c>
      <c r="F10" s="11"/>
      <c r="G10" s="11" t="s">
        <v>116</v>
      </c>
      <c r="H10" s="11"/>
      <c r="I10" s="11" t="s">
        <v>117</v>
      </c>
      <c r="J10" s="11"/>
      <c r="K10" s="11"/>
      <c r="L10" s="11" t="s">
        <v>57</v>
      </c>
      <c r="M10" s="13" t="s">
        <v>118</v>
      </c>
      <c r="N10" s="13" t="s">
        <v>119</v>
      </c>
      <c r="O10" s="13"/>
    </row>
    <row r="11" customFormat="false" ht="15" hidden="false" customHeight="false" outlineLevel="0" collapsed="false">
      <c r="A11" s="14" t="s">
        <v>85</v>
      </c>
      <c r="B11" s="15" t="s">
        <v>120</v>
      </c>
      <c r="C11" s="16" t="s">
        <v>121</v>
      </c>
      <c r="D11" s="14" t="s">
        <v>23</v>
      </c>
      <c r="E11" s="14"/>
      <c r="F11" s="14"/>
      <c r="G11" s="14" t="s">
        <v>122</v>
      </c>
      <c r="H11" s="14"/>
      <c r="I11" s="14"/>
      <c r="J11" s="14" t="s">
        <v>57</v>
      </c>
      <c r="K11" s="14" t="s">
        <v>123</v>
      </c>
      <c r="L11" s="14" t="s">
        <v>57</v>
      </c>
      <c r="M11" s="16" t="s">
        <v>124</v>
      </c>
      <c r="N11" s="16" t="s">
        <v>125</v>
      </c>
      <c r="O11" s="16"/>
    </row>
    <row r="12" customFormat="false" ht="15" hidden="false" customHeight="false" outlineLevel="0" collapsed="false">
      <c r="A12" s="11" t="s">
        <v>85</v>
      </c>
      <c r="B12" s="12" t="s">
        <v>126</v>
      </c>
      <c r="C12" s="13" t="s">
        <v>127</v>
      </c>
      <c r="D12" s="11" t="s">
        <v>23</v>
      </c>
      <c r="E12" s="11"/>
      <c r="F12" s="11"/>
      <c r="G12" s="11" t="s">
        <v>128</v>
      </c>
      <c r="H12" s="11"/>
      <c r="I12" s="11"/>
      <c r="J12" s="11" t="s">
        <v>57</v>
      </c>
      <c r="K12" s="11" t="s">
        <v>123</v>
      </c>
      <c r="L12" s="11" t="s">
        <v>57</v>
      </c>
      <c r="M12" s="13" t="s">
        <v>124</v>
      </c>
      <c r="N12" s="13" t="s">
        <v>119</v>
      </c>
      <c r="O12" s="13"/>
    </row>
    <row r="13" customFormat="false" ht="15" hidden="false" customHeight="false" outlineLevel="0" collapsed="false">
      <c r="A13" s="14" t="s">
        <v>85</v>
      </c>
      <c r="B13" s="15" t="s">
        <v>129</v>
      </c>
      <c r="C13" s="16" t="s">
        <v>130</v>
      </c>
      <c r="D13" s="14" t="s">
        <v>23</v>
      </c>
      <c r="E13" s="14"/>
      <c r="F13" s="14"/>
      <c r="G13" s="14" t="s">
        <v>128</v>
      </c>
      <c r="H13" s="14"/>
      <c r="I13" s="14"/>
      <c r="J13" s="14" t="s">
        <v>57</v>
      </c>
      <c r="K13" s="14" t="s">
        <v>123</v>
      </c>
      <c r="L13" s="14" t="s">
        <v>57</v>
      </c>
      <c r="M13" s="16" t="s">
        <v>124</v>
      </c>
      <c r="N13" s="16" t="s">
        <v>131</v>
      </c>
      <c r="O13" s="16"/>
    </row>
    <row r="14" customFormat="false" ht="15" hidden="false" customHeight="false" outlineLevel="0" collapsed="false">
      <c r="A14" s="11" t="s">
        <v>85</v>
      </c>
      <c r="B14" s="12" t="s">
        <v>132</v>
      </c>
      <c r="C14" s="13" t="s">
        <v>133</v>
      </c>
      <c r="D14" s="11" t="s">
        <v>23</v>
      </c>
      <c r="E14" s="11"/>
      <c r="F14" s="11"/>
      <c r="G14" s="11" t="s">
        <v>128</v>
      </c>
      <c r="H14" s="11"/>
      <c r="I14" s="11"/>
      <c r="J14" s="11" t="s">
        <v>57</v>
      </c>
      <c r="K14" s="11" t="s">
        <v>123</v>
      </c>
      <c r="L14" s="11" t="s">
        <v>57</v>
      </c>
      <c r="M14" s="13" t="s">
        <v>124</v>
      </c>
      <c r="N14" s="13" t="s">
        <v>134</v>
      </c>
      <c r="O14" s="13"/>
    </row>
    <row r="15" customFormat="false" ht="15" hidden="false" customHeight="false" outlineLevel="0" collapsed="false">
      <c r="A15" s="14" t="s">
        <v>85</v>
      </c>
      <c r="B15" s="15" t="s">
        <v>135</v>
      </c>
      <c r="C15" s="16" t="s">
        <v>136</v>
      </c>
      <c r="D15" s="14" t="s">
        <v>23</v>
      </c>
      <c r="E15" s="14"/>
      <c r="F15" s="14"/>
      <c r="G15" s="14" t="s">
        <v>109</v>
      </c>
      <c r="H15" s="14"/>
      <c r="I15" s="14"/>
      <c r="J15" s="14" t="s">
        <v>57</v>
      </c>
      <c r="K15" s="14" t="s">
        <v>110</v>
      </c>
      <c r="L15" s="14" t="s">
        <v>57</v>
      </c>
      <c r="M15" s="16" t="s">
        <v>137</v>
      </c>
      <c r="N15" s="16" t="s">
        <v>87</v>
      </c>
      <c r="O15" s="16" t="s">
        <v>138</v>
      </c>
    </row>
    <row r="16" customFormat="false" ht="15" hidden="false" customHeight="false" outlineLevel="0" collapsed="false">
      <c r="A16" s="11" t="s">
        <v>85</v>
      </c>
      <c r="B16" s="12" t="s">
        <v>139</v>
      </c>
      <c r="C16" s="13" t="s">
        <v>140</v>
      </c>
      <c r="D16" s="11" t="s">
        <v>23</v>
      </c>
      <c r="E16" s="11"/>
      <c r="F16" s="11"/>
      <c r="G16" s="11" t="s">
        <v>128</v>
      </c>
      <c r="H16" s="11"/>
      <c r="I16" s="11"/>
      <c r="J16" s="11" t="s">
        <v>57</v>
      </c>
      <c r="K16" s="11" t="s">
        <v>123</v>
      </c>
      <c r="L16" s="11" t="s">
        <v>85</v>
      </c>
      <c r="M16" s="13" t="s">
        <v>141</v>
      </c>
      <c r="N16" s="13" t="s">
        <v>142</v>
      </c>
      <c r="O16" s="13"/>
    </row>
    <row r="17" customFormat="false" ht="15" hidden="false" customHeight="false" outlineLevel="0" collapsed="false">
      <c r="A17" s="14" t="s">
        <v>85</v>
      </c>
      <c r="B17" s="15" t="s">
        <v>143</v>
      </c>
      <c r="C17" s="16" t="s">
        <v>144</v>
      </c>
      <c r="D17" s="14" t="s">
        <v>23</v>
      </c>
      <c r="E17" s="14"/>
      <c r="F17" s="14"/>
      <c r="G17" s="14" t="s">
        <v>145</v>
      </c>
      <c r="H17" s="14"/>
      <c r="I17" s="14"/>
      <c r="J17" s="14" t="s">
        <v>57</v>
      </c>
      <c r="K17" s="14" t="s">
        <v>123</v>
      </c>
      <c r="L17" s="14" t="s">
        <v>85</v>
      </c>
      <c r="M17" s="16" t="s">
        <v>141</v>
      </c>
      <c r="N17" s="16" t="s">
        <v>142</v>
      </c>
      <c r="O17" s="16"/>
    </row>
    <row r="18" customFormat="false" ht="15" hidden="false" customHeight="false" outlineLevel="0" collapsed="false">
      <c r="A18" s="11" t="s">
        <v>85</v>
      </c>
      <c r="B18" s="12" t="s">
        <v>146</v>
      </c>
      <c r="C18" s="13" t="s">
        <v>147</v>
      </c>
      <c r="D18" s="11" t="s">
        <v>23</v>
      </c>
      <c r="E18" s="11"/>
      <c r="F18" s="11"/>
      <c r="G18" s="11" t="s">
        <v>128</v>
      </c>
      <c r="H18" s="11"/>
      <c r="I18" s="11"/>
      <c r="J18" s="11" t="s">
        <v>57</v>
      </c>
      <c r="K18" s="11" t="s">
        <v>123</v>
      </c>
      <c r="L18" s="11" t="s">
        <v>85</v>
      </c>
      <c r="M18" s="13" t="s">
        <v>148</v>
      </c>
      <c r="N18" s="13" t="s">
        <v>142</v>
      </c>
      <c r="O18" s="13"/>
    </row>
    <row r="19" customFormat="false" ht="15" hidden="false" customHeight="false" outlineLevel="0" collapsed="false">
      <c r="A19" s="14" t="s">
        <v>85</v>
      </c>
      <c r="B19" s="15" t="s">
        <v>149</v>
      </c>
      <c r="C19" s="16" t="s">
        <v>150</v>
      </c>
      <c r="D19" s="14" t="s">
        <v>23</v>
      </c>
      <c r="E19" s="14"/>
      <c r="F19" s="14"/>
      <c r="G19" s="14" t="s">
        <v>151</v>
      </c>
      <c r="H19" s="14"/>
      <c r="I19" s="14"/>
      <c r="J19" s="14" t="s">
        <v>57</v>
      </c>
      <c r="K19" s="14" t="s">
        <v>123</v>
      </c>
      <c r="L19" s="14" t="s">
        <v>85</v>
      </c>
      <c r="M19" s="16" t="s">
        <v>148</v>
      </c>
      <c r="N19" s="16" t="s">
        <v>142</v>
      </c>
      <c r="O19" s="16"/>
    </row>
    <row r="20" customFormat="false" ht="15" hidden="false" customHeight="false" outlineLevel="0" collapsed="false">
      <c r="A20" s="11" t="s">
        <v>85</v>
      </c>
      <c r="B20" s="12" t="s">
        <v>152</v>
      </c>
      <c r="C20" s="13" t="s">
        <v>153</v>
      </c>
      <c r="D20" s="11" t="s">
        <v>23</v>
      </c>
      <c r="E20" s="11"/>
      <c r="F20" s="11"/>
      <c r="G20" s="11" t="s">
        <v>128</v>
      </c>
      <c r="H20" s="11"/>
      <c r="I20" s="11"/>
      <c r="J20" s="11" t="s">
        <v>57</v>
      </c>
      <c r="K20" s="11" t="s">
        <v>123</v>
      </c>
      <c r="L20" s="11" t="s">
        <v>85</v>
      </c>
      <c r="M20" s="13" t="s">
        <v>154</v>
      </c>
      <c r="N20" s="13" t="s">
        <v>142</v>
      </c>
      <c r="O20" s="13"/>
    </row>
    <row r="21" customFormat="false" ht="15" hidden="false" customHeight="false" outlineLevel="0" collapsed="false">
      <c r="A21" s="14" t="s">
        <v>85</v>
      </c>
      <c r="B21" s="15" t="s">
        <v>155</v>
      </c>
      <c r="C21" s="16" t="s">
        <v>156</v>
      </c>
      <c r="D21" s="14" t="s">
        <v>23</v>
      </c>
      <c r="E21" s="14"/>
      <c r="F21" s="14"/>
      <c r="G21" s="14" t="s">
        <v>128</v>
      </c>
      <c r="H21" s="14"/>
      <c r="I21" s="14"/>
      <c r="J21" s="14" t="s">
        <v>57</v>
      </c>
      <c r="K21" s="14" t="s">
        <v>123</v>
      </c>
      <c r="L21" s="14" t="s">
        <v>85</v>
      </c>
      <c r="M21" s="16" t="s">
        <v>154</v>
      </c>
      <c r="N21" s="16" t="s">
        <v>142</v>
      </c>
      <c r="O21" s="16"/>
    </row>
    <row r="22" customFormat="false" ht="15" hidden="false" customHeight="false" outlineLevel="0" collapsed="false">
      <c r="A22" s="11" t="s">
        <v>85</v>
      </c>
      <c r="B22" s="12" t="s">
        <v>157</v>
      </c>
      <c r="C22" s="13" t="s">
        <v>158</v>
      </c>
      <c r="D22" s="11" t="s">
        <v>23</v>
      </c>
      <c r="E22" s="11"/>
      <c r="F22" s="11"/>
      <c r="G22" s="11" t="s">
        <v>128</v>
      </c>
      <c r="H22" s="11"/>
      <c r="I22" s="11"/>
      <c r="J22" s="11" t="s">
        <v>57</v>
      </c>
      <c r="K22" s="11" t="s">
        <v>123</v>
      </c>
      <c r="L22" s="11" t="s">
        <v>85</v>
      </c>
      <c r="M22" s="13" t="s">
        <v>159</v>
      </c>
      <c r="N22" s="13" t="s">
        <v>142</v>
      </c>
      <c r="O22" s="13" t="s">
        <v>160</v>
      </c>
    </row>
    <row r="23" customFormat="false" ht="15" hidden="false" customHeight="false" outlineLevel="0" collapsed="false">
      <c r="A23" s="14" t="s">
        <v>85</v>
      </c>
      <c r="B23" s="15" t="s">
        <v>161</v>
      </c>
      <c r="C23" s="16" t="s">
        <v>162</v>
      </c>
      <c r="D23" s="14" t="s">
        <v>22</v>
      </c>
      <c r="E23" s="14" t="n">
        <v>0</v>
      </c>
      <c r="F23" s="14" t="s">
        <v>163</v>
      </c>
      <c r="G23" s="14" t="s">
        <v>84</v>
      </c>
      <c r="H23" s="14"/>
      <c r="I23" s="14" t="s">
        <v>164</v>
      </c>
      <c r="J23" s="14"/>
      <c r="K23" s="14"/>
      <c r="L23" s="14" t="s">
        <v>165</v>
      </c>
      <c r="M23" s="16" t="s">
        <v>166</v>
      </c>
      <c r="N23" s="16" t="s">
        <v>167</v>
      </c>
      <c r="O23" s="16" t="s">
        <v>168</v>
      </c>
    </row>
    <row r="24" customFormat="false" ht="15" hidden="false" customHeight="false" outlineLevel="0" collapsed="false">
      <c r="A24" s="11" t="s">
        <v>85</v>
      </c>
      <c r="B24" s="12" t="s">
        <v>169</v>
      </c>
      <c r="C24" s="13" t="s">
        <v>170</v>
      </c>
      <c r="D24" s="11" t="s">
        <v>22</v>
      </c>
      <c r="E24" s="11" t="n">
        <v>0</v>
      </c>
      <c r="F24" s="11" t="s">
        <v>163</v>
      </c>
      <c r="G24" s="11" t="s">
        <v>84</v>
      </c>
      <c r="H24" s="11"/>
      <c r="I24" s="11" t="s">
        <v>171</v>
      </c>
      <c r="J24" s="11"/>
      <c r="K24" s="11"/>
      <c r="L24" s="11" t="s">
        <v>165</v>
      </c>
      <c r="M24" s="13" t="s">
        <v>172</v>
      </c>
      <c r="N24" s="13" t="s">
        <v>167</v>
      </c>
      <c r="O24" s="13" t="s">
        <v>168</v>
      </c>
    </row>
    <row r="25" customFormat="false" ht="15" hidden="false" customHeight="false" outlineLevel="0" collapsed="false">
      <c r="A25" s="14" t="s">
        <v>165</v>
      </c>
      <c r="B25" s="15" t="s">
        <v>173</v>
      </c>
      <c r="C25" s="16" t="s">
        <v>174</v>
      </c>
      <c r="D25" s="14" t="s">
        <v>22</v>
      </c>
      <c r="E25" s="14" t="n">
        <v>2</v>
      </c>
      <c r="F25" s="14" t="s">
        <v>97</v>
      </c>
      <c r="G25" s="14" t="s">
        <v>61</v>
      </c>
      <c r="H25" s="14" t="s">
        <v>175</v>
      </c>
      <c r="I25" s="14" t="s">
        <v>176</v>
      </c>
      <c r="J25" s="14"/>
      <c r="K25" s="14"/>
      <c r="L25" s="14" t="s">
        <v>57</v>
      </c>
      <c r="M25" s="16" t="s">
        <v>100</v>
      </c>
      <c r="N25" s="16" t="s">
        <v>87</v>
      </c>
      <c r="O25" s="16"/>
    </row>
    <row r="26" customFormat="false" ht="15" hidden="false" customHeight="false" outlineLevel="0" collapsed="false">
      <c r="A26" s="11" t="s">
        <v>165</v>
      </c>
      <c r="B26" s="12" t="s">
        <v>177</v>
      </c>
      <c r="C26" s="13" t="s">
        <v>178</v>
      </c>
      <c r="D26" s="11" t="s">
        <v>22</v>
      </c>
      <c r="E26" s="11" t="n">
        <v>0</v>
      </c>
      <c r="F26" s="11" t="s">
        <v>179</v>
      </c>
      <c r="G26" s="11" t="s">
        <v>61</v>
      </c>
      <c r="H26" s="11" t="s">
        <v>62</v>
      </c>
      <c r="I26" s="11" t="s">
        <v>63</v>
      </c>
      <c r="J26" s="11"/>
      <c r="K26" s="11"/>
      <c r="L26" s="11" t="s">
        <v>85</v>
      </c>
      <c r="M26" s="13" t="s">
        <v>180</v>
      </c>
      <c r="N26" s="13" t="s">
        <v>181</v>
      </c>
      <c r="O26" s="13"/>
    </row>
    <row r="27" customFormat="false" ht="15" hidden="false" customHeight="false" outlineLevel="0" collapsed="false">
      <c r="A27" s="14" t="s">
        <v>165</v>
      </c>
      <c r="B27" s="15" t="s">
        <v>182</v>
      </c>
      <c r="C27" s="16" t="s">
        <v>89</v>
      </c>
      <c r="D27" s="14" t="s">
        <v>22</v>
      </c>
      <c r="E27" s="14" t="n">
        <v>2</v>
      </c>
      <c r="F27" s="14" t="s">
        <v>90</v>
      </c>
      <c r="G27" s="14" t="s">
        <v>183</v>
      </c>
      <c r="H27" s="14" t="s">
        <v>93</v>
      </c>
      <c r="I27" s="14" t="s">
        <v>184</v>
      </c>
      <c r="J27" s="14"/>
      <c r="K27" s="14"/>
      <c r="L27" s="14" t="s">
        <v>57</v>
      </c>
      <c r="M27" s="16" t="s">
        <v>94</v>
      </c>
      <c r="N27" s="16" t="s">
        <v>87</v>
      </c>
      <c r="O27" s="16"/>
    </row>
    <row r="28" customFormat="false" ht="15" hidden="false" customHeight="false" outlineLevel="0" collapsed="false">
      <c r="A28" s="11" t="s">
        <v>165</v>
      </c>
      <c r="B28" s="12" t="s">
        <v>185</v>
      </c>
      <c r="C28" s="13" t="s">
        <v>186</v>
      </c>
      <c r="D28" s="11" t="s">
        <v>23</v>
      </c>
      <c r="E28" s="11"/>
      <c r="F28" s="11"/>
      <c r="G28" s="11" t="s">
        <v>109</v>
      </c>
      <c r="H28" s="11"/>
      <c r="I28" s="11"/>
      <c r="J28" s="11" t="s">
        <v>57</v>
      </c>
      <c r="K28" s="11" t="s">
        <v>110</v>
      </c>
      <c r="L28" s="11" t="s">
        <v>57</v>
      </c>
      <c r="M28" s="13" t="s">
        <v>187</v>
      </c>
      <c r="N28" s="13" t="s">
        <v>87</v>
      </c>
      <c r="O28" s="13"/>
    </row>
    <row r="29" customFormat="false" ht="15" hidden="false" customHeight="false" outlineLevel="0" collapsed="false">
      <c r="A29" s="14" t="s">
        <v>165</v>
      </c>
      <c r="B29" s="15" t="s">
        <v>188</v>
      </c>
      <c r="C29" s="16" t="s">
        <v>189</v>
      </c>
      <c r="D29" s="14" t="s">
        <v>23</v>
      </c>
      <c r="E29" s="14"/>
      <c r="F29" s="14"/>
      <c r="G29" s="14" t="s">
        <v>109</v>
      </c>
      <c r="H29" s="14"/>
      <c r="I29" s="14"/>
      <c r="J29" s="14" t="s">
        <v>57</v>
      </c>
      <c r="K29" s="14" t="s">
        <v>110</v>
      </c>
      <c r="L29" s="14" t="s">
        <v>57</v>
      </c>
      <c r="M29" s="16" t="s">
        <v>137</v>
      </c>
      <c r="N29" s="16" t="s">
        <v>87</v>
      </c>
      <c r="O29" s="16"/>
    </row>
    <row r="30" customFormat="false" ht="15" hidden="false" customHeight="false" outlineLevel="0" collapsed="false">
      <c r="A30" s="11" t="s">
        <v>165</v>
      </c>
      <c r="B30" s="12" t="s">
        <v>190</v>
      </c>
      <c r="C30" s="13" t="s">
        <v>191</v>
      </c>
      <c r="D30" s="11" t="s">
        <v>23</v>
      </c>
      <c r="E30" s="11"/>
      <c r="F30" s="11"/>
      <c r="G30" s="11" t="s">
        <v>109</v>
      </c>
      <c r="H30" s="11"/>
      <c r="I30" s="11"/>
      <c r="J30" s="11" t="s">
        <v>57</v>
      </c>
      <c r="K30" s="11" t="s">
        <v>110</v>
      </c>
      <c r="L30" s="11" t="s">
        <v>57</v>
      </c>
      <c r="M30" s="13" t="s">
        <v>137</v>
      </c>
      <c r="N30" s="13" t="s">
        <v>87</v>
      </c>
      <c r="O30" s="13"/>
    </row>
    <row r="31" customFormat="false" ht="15" hidden="false" customHeight="false" outlineLevel="0" collapsed="false">
      <c r="A31" s="14" t="s">
        <v>165</v>
      </c>
      <c r="B31" s="15" t="s">
        <v>192</v>
      </c>
      <c r="C31" s="16" t="s">
        <v>82</v>
      </c>
      <c r="D31" s="14" t="s">
        <v>22</v>
      </c>
      <c r="E31" s="14" t="n">
        <v>0</v>
      </c>
      <c r="F31" s="14" t="s">
        <v>83</v>
      </c>
      <c r="G31" s="14" t="s">
        <v>84</v>
      </c>
      <c r="H31" s="14"/>
      <c r="I31" s="14" t="s">
        <v>85</v>
      </c>
      <c r="J31" s="14"/>
      <c r="K31" s="14"/>
      <c r="L31" s="14" t="s">
        <v>57</v>
      </c>
      <c r="M31" s="16" t="s">
        <v>86</v>
      </c>
      <c r="N31" s="16" t="s">
        <v>87</v>
      </c>
      <c r="O31" s="16" t="s">
        <v>193</v>
      </c>
    </row>
    <row r="32" customFormat="false" ht="15" hidden="false" customHeight="false" outlineLevel="0" collapsed="false">
      <c r="A32" s="11" t="s">
        <v>165</v>
      </c>
      <c r="B32" s="12" t="s">
        <v>194</v>
      </c>
      <c r="C32" s="13" t="s">
        <v>195</v>
      </c>
      <c r="D32" s="11" t="s">
        <v>22</v>
      </c>
      <c r="E32" s="11" t="n">
        <v>1</v>
      </c>
      <c r="F32" s="11" t="s">
        <v>196</v>
      </c>
      <c r="G32" s="11" t="s">
        <v>197</v>
      </c>
      <c r="H32" s="11" t="s">
        <v>198</v>
      </c>
      <c r="I32" s="11" t="s">
        <v>199</v>
      </c>
      <c r="J32" s="11"/>
      <c r="K32" s="11"/>
      <c r="L32" s="11" t="s">
        <v>85</v>
      </c>
      <c r="M32" s="13" t="s">
        <v>200</v>
      </c>
      <c r="N32" s="13" t="s">
        <v>201</v>
      </c>
      <c r="O32" s="13" t="s">
        <v>202</v>
      </c>
    </row>
    <row r="33" customFormat="false" ht="15" hidden="false" customHeight="false" outlineLevel="0" collapsed="false">
      <c r="A33" s="14" t="s">
        <v>165</v>
      </c>
      <c r="B33" s="15" t="s">
        <v>203</v>
      </c>
      <c r="C33" s="16" t="s">
        <v>204</v>
      </c>
      <c r="D33" s="14" t="s">
        <v>22</v>
      </c>
      <c r="E33" s="14" t="n">
        <v>1</v>
      </c>
      <c r="F33" s="14" t="s">
        <v>60</v>
      </c>
      <c r="G33" s="14" t="s">
        <v>61</v>
      </c>
      <c r="H33" s="14" t="s">
        <v>62</v>
      </c>
      <c r="I33" s="14" t="s">
        <v>63</v>
      </c>
      <c r="J33" s="14"/>
      <c r="K33" s="14"/>
      <c r="L33" s="14" t="s">
        <v>85</v>
      </c>
      <c r="M33" s="16" t="s">
        <v>180</v>
      </c>
      <c r="N33" s="16" t="s">
        <v>205</v>
      </c>
      <c r="O33" s="16" t="s">
        <v>206</v>
      </c>
    </row>
    <row r="34" customFormat="false" ht="15" hidden="false" customHeight="false" outlineLevel="0" collapsed="false">
      <c r="A34" s="11" t="s">
        <v>165</v>
      </c>
      <c r="B34" s="12" t="s">
        <v>207</v>
      </c>
      <c r="C34" s="13" t="s">
        <v>208</v>
      </c>
      <c r="D34" s="11" t="s">
        <v>22</v>
      </c>
      <c r="E34" s="11" t="n">
        <v>1</v>
      </c>
      <c r="F34" s="11" t="s">
        <v>68</v>
      </c>
      <c r="G34" s="11" t="s">
        <v>69</v>
      </c>
      <c r="H34" s="11" t="s">
        <v>70</v>
      </c>
      <c r="I34" s="11" t="s">
        <v>71</v>
      </c>
      <c r="J34" s="11"/>
      <c r="K34" s="11"/>
      <c r="L34" s="11" t="s">
        <v>85</v>
      </c>
      <c r="M34" s="13" t="s">
        <v>209</v>
      </c>
      <c r="N34" s="13" t="s">
        <v>205</v>
      </c>
      <c r="O34" s="13" t="s">
        <v>210</v>
      </c>
    </row>
    <row r="35" customFormat="false" ht="15" hidden="false" customHeight="false" outlineLevel="0" collapsed="false">
      <c r="A35" s="14" t="s">
        <v>165</v>
      </c>
      <c r="B35" s="15" t="s">
        <v>211</v>
      </c>
      <c r="C35" s="16" t="s">
        <v>212</v>
      </c>
      <c r="D35" s="14" t="s">
        <v>23</v>
      </c>
      <c r="E35" s="14"/>
      <c r="F35" s="14"/>
      <c r="G35" s="14" t="s">
        <v>109</v>
      </c>
      <c r="H35" s="14"/>
      <c r="I35" s="14"/>
      <c r="J35" s="14" t="s">
        <v>57</v>
      </c>
      <c r="K35" s="14" t="s">
        <v>110</v>
      </c>
      <c r="L35" s="14" t="s">
        <v>57</v>
      </c>
      <c r="M35" s="16" t="s">
        <v>137</v>
      </c>
      <c r="N35" s="16" t="s">
        <v>87</v>
      </c>
      <c r="O35" s="16" t="s">
        <v>138</v>
      </c>
    </row>
    <row r="36" customFormat="false" ht="15" hidden="false" customHeight="false" outlineLevel="0" collapsed="false">
      <c r="A36" s="11" t="s">
        <v>165</v>
      </c>
      <c r="B36" s="12" t="s">
        <v>213</v>
      </c>
      <c r="C36" s="13" t="s">
        <v>214</v>
      </c>
      <c r="D36" s="11" t="s">
        <v>22</v>
      </c>
      <c r="E36" s="11" t="n">
        <v>2</v>
      </c>
      <c r="F36" s="11" t="s">
        <v>68</v>
      </c>
      <c r="G36" s="11" t="s">
        <v>215</v>
      </c>
      <c r="H36" s="11"/>
      <c r="I36" s="11" t="s">
        <v>184</v>
      </c>
      <c r="J36" s="11"/>
      <c r="K36" s="11"/>
      <c r="L36" s="11" t="s">
        <v>57</v>
      </c>
      <c r="M36" s="13" t="s">
        <v>216</v>
      </c>
      <c r="N36" s="13" t="s">
        <v>131</v>
      </c>
      <c r="O36" s="13"/>
    </row>
    <row r="37" customFormat="false" ht="22.35" hidden="false" customHeight="false" outlineLevel="0" collapsed="false">
      <c r="A37" s="17" t="s">
        <v>165</v>
      </c>
      <c r="B37" s="18" t="s">
        <v>217</v>
      </c>
      <c r="C37" s="19" t="s">
        <v>218</v>
      </c>
      <c r="D37" s="17" t="s">
        <v>22</v>
      </c>
      <c r="E37" s="17" t="n">
        <v>2</v>
      </c>
      <c r="F37" s="17" t="s">
        <v>68</v>
      </c>
      <c r="G37" s="17" t="s">
        <v>219</v>
      </c>
      <c r="H37" s="17" t="s">
        <v>117</v>
      </c>
      <c r="I37" s="17" t="s">
        <v>220</v>
      </c>
      <c r="J37" s="17"/>
      <c r="K37" s="17"/>
      <c r="L37" s="17" t="s">
        <v>57</v>
      </c>
      <c r="M37" s="19" t="s">
        <v>221</v>
      </c>
      <c r="N37" s="19" t="s">
        <v>131</v>
      </c>
      <c r="O37" s="19" t="s">
        <v>222</v>
      </c>
    </row>
  </sheetData>
  <autoFilter ref="A1:O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20" t="s">
        <v>223</v>
      </c>
      <c r="B1" s="20" t="s">
        <v>224</v>
      </c>
      <c r="C1" s="20" t="s">
        <v>225</v>
      </c>
      <c r="D1" s="20" t="s">
        <v>226</v>
      </c>
      <c r="E1" s="20" t="s">
        <v>227</v>
      </c>
    </row>
    <row r="2" customFormat="false" ht="15" hidden="false" customHeight="false" outlineLevel="0" collapsed="false">
      <c r="A2" s="21" t="s">
        <v>123</v>
      </c>
      <c r="B2" s="22" t="s">
        <v>57</v>
      </c>
      <c r="C2" s="22" t="s">
        <v>228</v>
      </c>
      <c r="D2" s="21" t="s">
        <v>229</v>
      </c>
      <c r="E2" s="22" t="s">
        <v>230</v>
      </c>
    </row>
    <row r="3" customFormat="false" ht="15" hidden="false" customHeight="false" outlineLevel="0" collapsed="false">
      <c r="A3" s="22"/>
      <c r="B3" s="22"/>
      <c r="C3" s="22"/>
      <c r="D3" s="21" t="s">
        <v>231</v>
      </c>
      <c r="E3" s="22" t="s">
        <v>232</v>
      </c>
    </row>
    <row r="4" customFormat="false" ht="15" hidden="false" customHeight="false" outlineLevel="0" collapsed="false">
      <c r="A4" s="22"/>
      <c r="B4" s="22"/>
      <c r="C4" s="22"/>
      <c r="D4" s="21" t="s">
        <v>233</v>
      </c>
      <c r="E4" s="22" t="s">
        <v>85</v>
      </c>
    </row>
    <row r="5" customFormat="false" ht="15" hidden="false" customHeight="false" outlineLevel="0" collapsed="false">
      <c r="A5" s="22"/>
      <c r="B5" s="22"/>
      <c r="C5" s="22"/>
      <c r="D5" s="21" t="s">
        <v>234</v>
      </c>
      <c r="E5" s="22" t="s">
        <v>235</v>
      </c>
    </row>
    <row r="6" customFormat="false" ht="15" hidden="false" customHeight="false" outlineLevel="0" collapsed="false">
      <c r="A6" s="22"/>
      <c r="B6" s="22"/>
      <c r="C6" s="22"/>
      <c r="D6" s="21" t="s">
        <v>236</v>
      </c>
      <c r="E6" s="22" t="s">
        <v>165</v>
      </c>
    </row>
    <row r="7" customFormat="false" ht="15" hidden="false" customHeight="false" outlineLevel="0" collapsed="false">
      <c r="A7" s="22"/>
      <c r="B7" s="22"/>
      <c r="C7" s="22"/>
      <c r="D7" s="21" t="s">
        <v>237</v>
      </c>
      <c r="E7" s="22" t="s">
        <v>238</v>
      </c>
    </row>
    <row r="8" customFormat="false" ht="15" hidden="false" customHeight="false" outlineLevel="0" collapsed="false">
      <c r="A8" s="22"/>
      <c r="B8" s="22"/>
      <c r="C8" s="22"/>
      <c r="D8" s="21" t="s">
        <v>239</v>
      </c>
      <c r="E8" s="22" t="s">
        <v>240</v>
      </c>
    </row>
    <row r="9" customFormat="false" ht="15" hidden="false" customHeight="false" outlineLevel="0" collapsed="false">
      <c r="A9" s="22"/>
      <c r="B9" s="22"/>
      <c r="C9" s="22"/>
      <c r="D9" s="21" t="s">
        <v>241</v>
      </c>
      <c r="E9" s="22" t="s">
        <v>242</v>
      </c>
    </row>
    <row r="10" customFormat="false" ht="15" hidden="false" customHeight="false" outlineLevel="0" collapsed="false">
      <c r="A10" s="22"/>
      <c r="B10" s="22"/>
      <c r="C10" s="22"/>
      <c r="D10" s="21" t="s">
        <v>243</v>
      </c>
      <c r="E10" s="22" t="s">
        <v>244</v>
      </c>
    </row>
    <row r="11" customFormat="false" ht="15" hidden="false" customHeight="false" outlineLevel="0" collapsed="false">
      <c r="A11" s="21" t="s">
        <v>110</v>
      </c>
      <c r="B11" s="22" t="s">
        <v>57</v>
      </c>
      <c r="C11" s="22" t="s">
        <v>245</v>
      </c>
      <c r="D11" s="21" t="s">
        <v>246</v>
      </c>
      <c r="E11" s="22" t="s">
        <v>109</v>
      </c>
    </row>
    <row r="12" customFormat="false" ht="15" hidden="false" customHeight="false" outlineLevel="0" collapsed="false">
      <c r="A12" s="22"/>
      <c r="B12" s="22"/>
      <c r="C12" s="22"/>
      <c r="D12" s="21" t="s">
        <v>247</v>
      </c>
      <c r="E12" s="22" t="s">
        <v>248</v>
      </c>
    </row>
    <row r="13" customFormat="false" ht="15" hidden="false" customHeight="false" outlineLevel="0" collapsed="false">
      <c r="A13" s="23" t="s">
        <v>104</v>
      </c>
      <c r="B13" s="24" t="s">
        <v>57</v>
      </c>
      <c r="C13" s="24" t="s">
        <v>249</v>
      </c>
      <c r="D13" s="23" t="s">
        <v>250</v>
      </c>
      <c r="E13" s="24" t="s">
        <v>251</v>
      </c>
    </row>
    <row r="14" customFormat="false" ht="15" hidden="false" customHeight="false" outlineLevel="0" collapsed="false">
      <c r="A14" s="24"/>
      <c r="B14" s="24"/>
      <c r="C14" s="24"/>
      <c r="D14" s="23" t="s">
        <v>252</v>
      </c>
      <c r="E14" s="24" t="s">
        <v>253</v>
      </c>
    </row>
    <row r="15" customFormat="false" ht="15" hidden="false" customHeight="false" outlineLevel="0" collapsed="false">
      <c r="A15" s="24"/>
      <c r="B15" s="24"/>
      <c r="C15" s="24"/>
      <c r="D15" s="23" t="s">
        <v>254</v>
      </c>
      <c r="E15" s="24" t="s">
        <v>255</v>
      </c>
    </row>
    <row r="16" customFormat="false" ht="15" hidden="false" customHeight="false" outlineLevel="0" collapsed="false">
      <c r="A16" s="21" t="s">
        <v>256</v>
      </c>
      <c r="B16" s="22" t="s">
        <v>257</v>
      </c>
      <c r="C16" s="22" t="s">
        <v>258</v>
      </c>
      <c r="D16" s="21" t="s">
        <v>259</v>
      </c>
      <c r="E16" s="22" t="s">
        <v>260</v>
      </c>
    </row>
    <row r="17" customFormat="false" ht="15" hidden="false" customHeight="false" outlineLevel="0" collapsed="false">
      <c r="A17" s="22"/>
      <c r="B17" s="22"/>
      <c r="C17" s="22"/>
      <c r="D17" s="21" t="s">
        <v>261</v>
      </c>
      <c r="E17" s="22" t="s">
        <v>262</v>
      </c>
    </row>
    <row r="18" customFormat="false" ht="15" hidden="false" customHeight="false" outlineLevel="0" collapsed="false">
      <c r="A18" s="22"/>
      <c r="B18" s="22"/>
      <c r="C18" s="22"/>
      <c r="D18" s="21" t="s">
        <v>263</v>
      </c>
      <c r="E18" s="22" t="s">
        <v>264</v>
      </c>
    </row>
    <row r="19" customFormat="false" ht="15" hidden="false" customHeight="false" outlineLevel="0" collapsed="false">
      <c r="A19" s="22"/>
      <c r="B19" s="22"/>
      <c r="C19" s="22"/>
      <c r="D19" s="21" t="s">
        <v>265</v>
      </c>
      <c r="E19" s="22" t="s">
        <v>266</v>
      </c>
    </row>
    <row r="20" customFormat="false" ht="15" hidden="false" customHeight="false" outlineLevel="0" collapsed="false">
      <c r="A20" s="22"/>
      <c r="B20" s="22"/>
      <c r="C20" s="22"/>
      <c r="D20" s="21" t="s">
        <v>267</v>
      </c>
      <c r="E20" s="22" t="s">
        <v>268</v>
      </c>
    </row>
    <row r="21" customFormat="false" ht="15" hidden="false" customHeight="false" outlineLevel="0" collapsed="false">
      <c r="A21" s="22"/>
      <c r="B21" s="22"/>
      <c r="C21" s="22"/>
      <c r="D21" s="21" t="s">
        <v>269</v>
      </c>
      <c r="E21" s="22" t="s">
        <v>270</v>
      </c>
    </row>
    <row r="22" customFormat="false" ht="15" hidden="false" customHeight="false" outlineLevel="0" collapsed="false">
      <c r="A22" s="22"/>
      <c r="B22" s="22"/>
      <c r="C22" s="22"/>
      <c r="D22" s="21" t="s">
        <v>271</v>
      </c>
      <c r="E22" s="22" t="s">
        <v>272</v>
      </c>
    </row>
    <row r="23" customFormat="false" ht="15" hidden="false" customHeight="false" outlineLevel="0" collapsed="false">
      <c r="A23" s="22"/>
      <c r="B23" s="22"/>
      <c r="C23" s="22"/>
      <c r="D23" s="21" t="s">
        <v>273</v>
      </c>
      <c r="E23" s="22" t="s">
        <v>274</v>
      </c>
    </row>
    <row r="24" customFormat="false" ht="15" hidden="false" customHeight="false" outlineLevel="0" collapsed="false">
      <c r="A24" s="22"/>
      <c r="B24" s="22"/>
      <c r="C24" s="22"/>
      <c r="D24" s="21" t="s">
        <v>275</v>
      </c>
      <c r="E24" s="22" t="s">
        <v>276</v>
      </c>
    </row>
    <row r="25" customFormat="false" ht="15" hidden="false" customHeight="false" outlineLevel="0" collapsed="false">
      <c r="A25" s="21" t="s">
        <v>277</v>
      </c>
      <c r="B25" s="22" t="s">
        <v>257</v>
      </c>
      <c r="C25" s="22" t="s">
        <v>278</v>
      </c>
      <c r="D25" s="21" t="s">
        <v>279</v>
      </c>
      <c r="E25" s="22" t="s">
        <v>189</v>
      </c>
    </row>
    <row r="26" customFormat="false" ht="15" hidden="false" customHeight="false" outlineLevel="0" collapsed="false">
      <c r="A26" s="22"/>
      <c r="B26" s="22"/>
      <c r="C26" s="22"/>
      <c r="D26" s="21" t="s">
        <v>280</v>
      </c>
      <c r="E26" s="22" t="s">
        <v>281</v>
      </c>
    </row>
    <row r="27" customFormat="false" ht="15" hidden="false" customHeight="false" outlineLevel="0" collapsed="false">
      <c r="A27" s="22"/>
      <c r="B27" s="22"/>
      <c r="C27" s="22"/>
      <c r="D27" s="21" t="s">
        <v>282</v>
      </c>
      <c r="E27" s="22" t="s">
        <v>283</v>
      </c>
    </row>
    <row r="28" customFormat="false" ht="15" hidden="false" customHeight="false" outlineLevel="0" collapsed="false">
      <c r="A28" s="22"/>
      <c r="B28" s="22"/>
      <c r="C28" s="22"/>
      <c r="D28" s="21" t="s">
        <v>284</v>
      </c>
      <c r="E28" s="22" t="s">
        <v>285</v>
      </c>
    </row>
    <row r="29" customFormat="false" ht="15" hidden="false" customHeight="false" outlineLevel="0" collapsed="false">
      <c r="A29" s="22"/>
      <c r="B29" s="22"/>
      <c r="C29" s="22"/>
      <c r="D29" s="21" t="s">
        <v>286</v>
      </c>
      <c r="E29" s="22" t="s">
        <v>287</v>
      </c>
    </row>
    <row r="30" customFormat="false" ht="15" hidden="false" customHeight="false" outlineLevel="0" collapsed="false">
      <c r="A30" s="22"/>
      <c r="B30" s="22"/>
      <c r="C30" s="22"/>
      <c r="D30" s="21" t="s">
        <v>288</v>
      </c>
      <c r="E30" s="22" t="s">
        <v>289</v>
      </c>
    </row>
    <row r="31" customFormat="false" ht="15" hidden="false" customHeight="false" outlineLevel="0" collapsed="false">
      <c r="A31" s="22"/>
      <c r="B31" s="22"/>
      <c r="C31" s="22"/>
      <c r="D31" s="21" t="s">
        <v>290</v>
      </c>
      <c r="E31" s="22" t="s">
        <v>291</v>
      </c>
    </row>
    <row r="32" customFormat="false" ht="15" hidden="false" customHeight="false" outlineLevel="0" collapsed="false">
      <c r="A32" s="22"/>
      <c r="B32" s="22"/>
      <c r="C32" s="22"/>
      <c r="D32" s="21" t="s">
        <v>292</v>
      </c>
      <c r="E32" s="22" t="s">
        <v>293</v>
      </c>
    </row>
    <row r="33" customFormat="false" ht="15" hidden="false" customHeight="false" outlineLevel="0" collapsed="false">
      <c r="A33" s="22"/>
      <c r="B33" s="22"/>
      <c r="C33" s="22"/>
      <c r="D33" s="21" t="s">
        <v>294</v>
      </c>
      <c r="E33" s="22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20" t="s">
        <v>52</v>
      </c>
      <c r="B1" s="20" t="s">
        <v>224</v>
      </c>
      <c r="C1" s="20" t="s">
        <v>296</v>
      </c>
      <c r="D1" s="20" t="s">
        <v>226</v>
      </c>
      <c r="E1" s="20" t="s">
        <v>297</v>
      </c>
      <c r="F1" s="20" t="s">
        <v>298</v>
      </c>
    </row>
    <row r="2" customFormat="false" ht="43.25" hidden="false" customHeight="false" outlineLevel="0" collapsed="false">
      <c r="A2" s="21" t="s">
        <v>123</v>
      </c>
      <c r="B2" s="22" t="s">
        <v>57</v>
      </c>
      <c r="C2" s="22" t="s">
        <v>299</v>
      </c>
      <c r="D2" s="21" t="s">
        <v>229</v>
      </c>
      <c r="E2" s="25" t="s">
        <v>300</v>
      </c>
      <c r="F2" s="16" t="s">
        <v>301</v>
      </c>
    </row>
    <row r="3" customFormat="false" ht="15" hidden="false" customHeight="false" outlineLevel="0" collapsed="false">
      <c r="A3" s="22"/>
      <c r="B3" s="22"/>
      <c r="C3" s="22"/>
      <c r="D3" s="21" t="s">
        <v>231</v>
      </c>
      <c r="E3" s="25" t="s">
        <v>300</v>
      </c>
      <c r="F3" s="16"/>
    </row>
    <row r="4" customFormat="false" ht="15" hidden="false" customHeight="false" outlineLevel="0" collapsed="false">
      <c r="A4" s="22"/>
      <c r="B4" s="22"/>
      <c r="C4" s="22"/>
      <c r="D4" s="21" t="s">
        <v>233</v>
      </c>
      <c r="E4" s="25" t="s">
        <v>300</v>
      </c>
      <c r="F4" s="16"/>
    </row>
    <row r="5" customFormat="false" ht="15" hidden="false" customHeight="false" outlineLevel="0" collapsed="false">
      <c r="A5" s="22"/>
      <c r="B5" s="22"/>
      <c r="C5" s="22"/>
      <c r="D5" s="21" t="s">
        <v>234</v>
      </c>
      <c r="E5" s="25" t="s">
        <v>300</v>
      </c>
      <c r="F5" s="16"/>
    </row>
    <row r="6" customFormat="false" ht="15" hidden="false" customHeight="false" outlineLevel="0" collapsed="false">
      <c r="A6" s="22"/>
      <c r="B6" s="22"/>
      <c r="C6" s="22"/>
      <c r="D6" s="21" t="s">
        <v>236</v>
      </c>
      <c r="E6" s="25" t="s">
        <v>300</v>
      </c>
      <c r="F6" s="16"/>
    </row>
    <row r="7" customFormat="false" ht="15" hidden="false" customHeight="false" outlineLevel="0" collapsed="false">
      <c r="A7" s="22"/>
      <c r="B7" s="22"/>
      <c r="C7" s="22"/>
      <c r="D7" s="21" t="s">
        <v>237</v>
      </c>
      <c r="E7" s="26" t="s">
        <v>302</v>
      </c>
      <c r="F7" s="16"/>
    </row>
    <row r="8" customFormat="false" ht="15" hidden="false" customHeight="false" outlineLevel="0" collapsed="false">
      <c r="A8" s="22"/>
      <c r="B8" s="22"/>
      <c r="C8" s="22"/>
      <c r="D8" s="21" t="s">
        <v>239</v>
      </c>
      <c r="E8" s="27" t="s">
        <v>303</v>
      </c>
      <c r="F8" s="16"/>
    </row>
    <row r="9" customFormat="false" ht="15" hidden="false" customHeight="false" outlineLevel="0" collapsed="false">
      <c r="A9" s="22"/>
      <c r="B9" s="22"/>
      <c r="C9" s="22"/>
      <c r="D9" s="21" t="s">
        <v>241</v>
      </c>
      <c r="E9" s="27" t="s">
        <v>303</v>
      </c>
      <c r="F9" s="16"/>
    </row>
    <row r="10" customFormat="false" ht="15" hidden="false" customHeight="false" outlineLevel="0" collapsed="false">
      <c r="A10" s="22"/>
      <c r="B10" s="22"/>
      <c r="C10" s="22"/>
      <c r="D10" s="21" t="s">
        <v>243</v>
      </c>
      <c r="E10" s="27" t="s">
        <v>303</v>
      </c>
      <c r="F10" s="16"/>
    </row>
    <row r="11" customFormat="false" ht="15" hidden="false" customHeight="false" outlineLevel="0" collapsed="false">
      <c r="A11" s="21" t="s">
        <v>110</v>
      </c>
      <c r="B11" s="22" t="s">
        <v>57</v>
      </c>
      <c r="C11" s="22" t="s">
        <v>304</v>
      </c>
      <c r="D11" s="21" t="s">
        <v>246</v>
      </c>
      <c r="E11" s="27" t="s">
        <v>303</v>
      </c>
      <c r="F11" s="16" t="s">
        <v>305</v>
      </c>
    </row>
    <row r="12" customFormat="false" ht="15" hidden="false" customHeight="false" outlineLevel="0" collapsed="false">
      <c r="A12" s="22"/>
      <c r="B12" s="22"/>
      <c r="C12" s="22"/>
      <c r="D12" s="21" t="s">
        <v>247</v>
      </c>
      <c r="E12" s="25" t="s">
        <v>300</v>
      </c>
      <c r="F12" s="16"/>
    </row>
    <row r="13" customFormat="false" ht="22.35" hidden="false" customHeight="false" outlineLevel="0" collapsed="false">
      <c r="A13" s="23" t="s">
        <v>104</v>
      </c>
      <c r="B13" s="24" t="s">
        <v>57</v>
      </c>
      <c r="C13" s="24" t="s">
        <v>306</v>
      </c>
      <c r="D13" s="23" t="s">
        <v>250</v>
      </c>
      <c r="E13" s="28" t="s">
        <v>303</v>
      </c>
      <c r="F13" s="19" t="s">
        <v>307</v>
      </c>
    </row>
    <row r="14" customFormat="false" ht="15" hidden="false" customHeight="false" outlineLevel="0" collapsed="false">
      <c r="A14" s="24"/>
      <c r="B14" s="24"/>
      <c r="C14" s="24"/>
      <c r="D14" s="23" t="s">
        <v>252</v>
      </c>
      <c r="E14" s="28" t="s">
        <v>303</v>
      </c>
      <c r="F14" s="19"/>
    </row>
    <row r="15" customFormat="false" ht="15" hidden="false" customHeight="false" outlineLevel="0" collapsed="false">
      <c r="A15" s="24"/>
      <c r="B15" s="24"/>
      <c r="C15" s="24"/>
      <c r="D15" s="23" t="s">
        <v>254</v>
      </c>
      <c r="E15" s="28" t="s">
        <v>300</v>
      </c>
      <c r="F15" s="19"/>
    </row>
    <row r="17" customFormat="false" ht="15" hidden="false" customHeight="false" outlineLevel="0" collapsed="false">
      <c r="A17" s="29" t="s">
        <v>308</v>
      </c>
      <c r="B17" s="29"/>
      <c r="C17" s="29"/>
      <c r="D17" s="29"/>
      <c r="E17" s="29"/>
      <c r="F17" s="29"/>
    </row>
    <row r="18" customFormat="false" ht="15" hidden="false" customHeight="true" outlineLevel="0" collapsed="false">
      <c r="A18" s="30" t="s">
        <v>309</v>
      </c>
      <c r="B18" s="31" t="s">
        <v>310</v>
      </c>
      <c r="C18" s="31"/>
      <c r="D18" s="9" t="s">
        <v>149</v>
      </c>
      <c r="E18" s="9"/>
      <c r="F18" s="9"/>
    </row>
    <row r="19" customFormat="false" ht="15" hidden="false" customHeight="true" outlineLevel="0" collapsed="false">
      <c r="A19" s="30" t="s">
        <v>311</v>
      </c>
      <c r="B19" s="31" t="s">
        <v>312</v>
      </c>
      <c r="C19" s="31"/>
      <c r="D19" s="9" t="s">
        <v>313</v>
      </c>
      <c r="E19" s="9"/>
      <c r="F19" s="9"/>
    </row>
    <row r="20" customFormat="false" ht="15" hidden="false" customHeight="true" outlineLevel="0" collapsed="false">
      <c r="A20" s="30" t="s">
        <v>314</v>
      </c>
      <c r="B20" s="31" t="s">
        <v>315</v>
      </c>
      <c r="C20" s="31"/>
      <c r="D20" s="9" t="s">
        <v>120</v>
      </c>
      <c r="E20" s="9"/>
      <c r="F20" s="9"/>
    </row>
    <row r="21" customFormat="false" ht="15" hidden="false" customHeight="false" outlineLevel="0" collapsed="false">
      <c r="A21" s="32" t="s">
        <v>316</v>
      </c>
      <c r="B21" s="32"/>
      <c r="C21" s="32"/>
      <c r="D21" s="32"/>
      <c r="E21" s="32"/>
      <c r="F21" s="32"/>
    </row>
  </sheetData>
  <mergeCells count="8">
    <mergeCell ref="A17:F17"/>
    <mergeCell ref="B18:C18"/>
    <mergeCell ref="D18:F18"/>
    <mergeCell ref="B19:C19"/>
    <mergeCell ref="D19:F19"/>
    <mergeCell ref="B20:C20"/>
    <mergeCell ref="D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4" min="3" style="0" width="6"/>
    <col collapsed="false" customWidth="true" hidden="false" outlineLevel="0" max="5" min="5" style="0" width="11"/>
    <col collapsed="false" customWidth="true" hidden="false" outlineLevel="0" max="6" min="6" style="0" width="38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6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10" t="s">
        <v>317</v>
      </c>
      <c r="B1" s="10" t="s">
        <v>318</v>
      </c>
      <c r="C1" s="10" t="s">
        <v>319</v>
      </c>
      <c r="D1" s="10" t="s">
        <v>320</v>
      </c>
      <c r="E1" s="10" t="s">
        <v>43</v>
      </c>
      <c r="F1" s="10" t="s">
        <v>321</v>
      </c>
      <c r="G1" s="10" t="s">
        <v>322</v>
      </c>
      <c r="H1" s="10" t="s">
        <v>323</v>
      </c>
      <c r="I1" s="10" t="s">
        <v>53</v>
      </c>
      <c r="J1" s="10" t="s">
        <v>324</v>
      </c>
    </row>
    <row r="2" customFormat="false" ht="15" hidden="false" customHeight="false" outlineLevel="0" collapsed="false">
      <c r="A2" s="33" t="s">
        <v>325</v>
      </c>
      <c r="B2" s="34" t="s">
        <v>326</v>
      </c>
      <c r="C2" s="34" t="s">
        <v>327</v>
      </c>
      <c r="D2" s="34" t="s">
        <v>327</v>
      </c>
      <c r="E2" s="35" t="s">
        <v>58</v>
      </c>
      <c r="F2" s="13" t="s">
        <v>59</v>
      </c>
      <c r="G2" s="34" t="s">
        <v>328</v>
      </c>
      <c r="H2" s="13" t="s">
        <v>65</v>
      </c>
      <c r="I2" s="33" t="s">
        <v>57</v>
      </c>
      <c r="J2" s="13"/>
    </row>
    <row r="3" customFormat="false" ht="15" hidden="false" customHeight="false" outlineLevel="0" collapsed="false">
      <c r="A3" s="22"/>
      <c r="B3" s="22"/>
      <c r="C3" s="22"/>
      <c r="D3" s="22" t="s">
        <v>329</v>
      </c>
      <c r="E3" s="21" t="s">
        <v>66</v>
      </c>
      <c r="F3" s="16" t="s">
        <v>67</v>
      </c>
      <c r="G3" s="22" t="s">
        <v>328</v>
      </c>
      <c r="H3" s="16" t="s">
        <v>65</v>
      </c>
      <c r="I3" s="26" t="s">
        <v>57</v>
      </c>
      <c r="J3" s="16"/>
    </row>
    <row r="4" customFormat="false" ht="15" hidden="false" customHeight="false" outlineLevel="0" collapsed="false">
      <c r="A4" s="34"/>
      <c r="B4" s="34"/>
      <c r="C4" s="34"/>
      <c r="D4" s="34" t="s">
        <v>330</v>
      </c>
      <c r="E4" s="35" t="s">
        <v>73</v>
      </c>
      <c r="F4" s="13" t="s">
        <v>74</v>
      </c>
      <c r="G4" s="34" t="s">
        <v>328</v>
      </c>
      <c r="H4" s="13" t="s">
        <v>79</v>
      </c>
      <c r="I4" s="33" t="s">
        <v>57</v>
      </c>
      <c r="J4" s="13" t="s">
        <v>80</v>
      </c>
    </row>
    <row r="5" customFormat="false" ht="15" hidden="false" customHeight="false" outlineLevel="0" collapsed="false">
      <c r="A5" s="22"/>
      <c r="B5" s="22"/>
      <c r="C5" s="22"/>
      <c r="D5" s="22" t="s">
        <v>331</v>
      </c>
      <c r="E5" s="21" t="s">
        <v>81</v>
      </c>
      <c r="F5" s="16" t="s">
        <v>82</v>
      </c>
      <c r="G5" s="22" t="s">
        <v>332</v>
      </c>
      <c r="H5" s="16" t="s">
        <v>87</v>
      </c>
      <c r="I5" s="26" t="s">
        <v>57</v>
      </c>
      <c r="J5" s="16"/>
    </row>
    <row r="6" customFormat="false" ht="15" hidden="false" customHeight="false" outlineLevel="0" collapsed="false">
      <c r="A6" s="34"/>
      <c r="B6" s="34"/>
      <c r="C6" s="34"/>
      <c r="D6" s="34" t="s">
        <v>333</v>
      </c>
      <c r="E6" s="35" t="s">
        <v>88</v>
      </c>
      <c r="F6" s="13" t="s">
        <v>89</v>
      </c>
      <c r="G6" s="34" t="s">
        <v>332</v>
      </c>
      <c r="H6" s="13" t="s">
        <v>87</v>
      </c>
      <c r="I6" s="33" t="s">
        <v>57</v>
      </c>
      <c r="J6" s="13"/>
    </row>
    <row r="7" customFormat="false" ht="15" hidden="false" customHeight="false" outlineLevel="0" collapsed="false">
      <c r="A7" s="22"/>
      <c r="B7" s="22"/>
      <c r="C7" s="22"/>
      <c r="D7" s="22" t="s">
        <v>334</v>
      </c>
      <c r="E7" s="21" t="s">
        <v>95</v>
      </c>
      <c r="F7" s="16" t="s">
        <v>96</v>
      </c>
      <c r="G7" s="22" t="s">
        <v>332</v>
      </c>
      <c r="H7" s="16" t="s">
        <v>87</v>
      </c>
      <c r="I7" s="26" t="s">
        <v>57</v>
      </c>
      <c r="J7" s="16"/>
    </row>
    <row r="8" customFormat="false" ht="15" hidden="false" customHeight="false" outlineLevel="0" collapsed="false">
      <c r="A8" s="34"/>
      <c r="B8" s="34"/>
      <c r="C8" s="34"/>
      <c r="D8" s="34" t="s">
        <v>335</v>
      </c>
      <c r="E8" s="35" t="s">
        <v>101</v>
      </c>
      <c r="F8" s="13" t="s">
        <v>102</v>
      </c>
      <c r="G8" s="34" t="s">
        <v>332</v>
      </c>
      <c r="H8" s="13" t="s">
        <v>87</v>
      </c>
      <c r="I8" s="33" t="s">
        <v>57</v>
      </c>
      <c r="J8" s="13" t="s">
        <v>106</v>
      </c>
    </row>
    <row r="9" customFormat="false" ht="22.35" hidden="false" customHeight="false" outlineLevel="0" collapsed="false">
      <c r="A9" s="22"/>
      <c r="B9" s="22"/>
      <c r="C9" s="22"/>
      <c r="D9" s="22" t="s">
        <v>336</v>
      </c>
      <c r="E9" s="21" t="s">
        <v>107</v>
      </c>
      <c r="F9" s="16" t="s">
        <v>108</v>
      </c>
      <c r="G9" s="22" t="s">
        <v>328</v>
      </c>
      <c r="H9" s="16" t="s">
        <v>112</v>
      </c>
      <c r="I9" s="26" t="s">
        <v>57</v>
      </c>
      <c r="J9" s="16" t="s">
        <v>113</v>
      </c>
    </row>
    <row r="10" customFormat="false" ht="22.35" hidden="false" customHeight="false" outlineLevel="0" collapsed="false">
      <c r="A10" s="33" t="s">
        <v>337</v>
      </c>
      <c r="B10" s="34" t="s">
        <v>338</v>
      </c>
      <c r="C10" s="34" t="s">
        <v>327</v>
      </c>
      <c r="D10" s="34" t="s">
        <v>339</v>
      </c>
      <c r="E10" s="35" t="s">
        <v>114</v>
      </c>
      <c r="F10" s="13" t="s">
        <v>115</v>
      </c>
      <c r="G10" s="34" t="s">
        <v>328</v>
      </c>
      <c r="H10" s="13" t="s">
        <v>119</v>
      </c>
      <c r="I10" s="33" t="s">
        <v>57</v>
      </c>
      <c r="J10" s="13"/>
    </row>
    <row r="11" customFormat="false" ht="15" hidden="false" customHeight="false" outlineLevel="0" collapsed="false">
      <c r="A11" s="22"/>
      <c r="B11" s="22"/>
      <c r="C11" s="22"/>
      <c r="D11" s="22" t="s">
        <v>340</v>
      </c>
      <c r="E11" s="21" t="s">
        <v>120</v>
      </c>
      <c r="F11" s="16" t="s">
        <v>121</v>
      </c>
      <c r="G11" s="22" t="s">
        <v>328</v>
      </c>
      <c r="H11" s="16" t="s">
        <v>125</v>
      </c>
      <c r="I11" s="26" t="s">
        <v>57</v>
      </c>
      <c r="J11" s="16"/>
    </row>
    <row r="12" customFormat="false" ht="22.35" hidden="false" customHeight="false" outlineLevel="0" collapsed="false">
      <c r="A12" s="34"/>
      <c r="B12" s="34"/>
      <c r="C12" s="34"/>
      <c r="D12" s="34" t="s">
        <v>341</v>
      </c>
      <c r="E12" s="35" t="s">
        <v>126</v>
      </c>
      <c r="F12" s="13" t="s">
        <v>127</v>
      </c>
      <c r="G12" s="34" t="s">
        <v>328</v>
      </c>
      <c r="H12" s="13" t="s">
        <v>119</v>
      </c>
      <c r="I12" s="33" t="s">
        <v>57</v>
      </c>
      <c r="J12" s="13"/>
    </row>
    <row r="13" customFormat="false" ht="15" hidden="false" customHeight="false" outlineLevel="0" collapsed="false">
      <c r="A13" s="22"/>
      <c r="B13" s="22"/>
      <c r="C13" s="22"/>
      <c r="D13" s="22" t="s">
        <v>342</v>
      </c>
      <c r="E13" s="21" t="s">
        <v>129</v>
      </c>
      <c r="F13" s="16" t="s">
        <v>130</v>
      </c>
      <c r="G13" s="22" t="s">
        <v>328</v>
      </c>
      <c r="H13" s="16" t="s">
        <v>131</v>
      </c>
      <c r="I13" s="26" t="s">
        <v>57</v>
      </c>
      <c r="J13" s="16"/>
    </row>
    <row r="14" customFormat="false" ht="15" hidden="false" customHeight="false" outlineLevel="0" collapsed="false">
      <c r="A14" s="34"/>
      <c r="B14" s="34"/>
      <c r="C14" s="34"/>
      <c r="D14" s="34" t="s">
        <v>343</v>
      </c>
      <c r="E14" s="35" t="s">
        <v>132</v>
      </c>
      <c r="F14" s="13" t="s">
        <v>133</v>
      </c>
      <c r="G14" s="34" t="s">
        <v>328</v>
      </c>
      <c r="H14" s="13" t="s">
        <v>134</v>
      </c>
      <c r="I14" s="33" t="s">
        <v>57</v>
      </c>
      <c r="J14" s="13"/>
    </row>
    <row r="15" customFormat="false" ht="15" hidden="false" customHeight="false" outlineLevel="0" collapsed="false">
      <c r="A15" s="22"/>
      <c r="B15" s="22"/>
      <c r="C15" s="22"/>
      <c r="D15" s="22" t="s">
        <v>344</v>
      </c>
      <c r="E15" s="21" t="s">
        <v>135</v>
      </c>
      <c r="F15" s="16" t="s">
        <v>136</v>
      </c>
      <c r="G15" s="22" t="s">
        <v>332</v>
      </c>
      <c r="H15" s="16" t="s">
        <v>87</v>
      </c>
      <c r="I15" s="26" t="s">
        <v>57</v>
      </c>
      <c r="J15" s="16" t="s">
        <v>138</v>
      </c>
    </row>
    <row r="16" customFormat="false" ht="22.35" hidden="false" customHeight="false" outlineLevel="0" collapsed="false">
      <c r="A16" s="34"/>
      <c r="B16" s="34"/>
      <c r="C16" s="34"/>
      <c r="D16" s="34" t="s">
        <v>345</v>
      </c>
      <c r="E16" s="35" t="s">
        <v>139</v>
      </c>
      <c r="F16" s="13" t="s">
        <v>140</v>
      </c>
      <c r="G16" s="34" t="s">
        <v>328</v>
      </c>
      <c r="H16" s="13" t="s">
        <v>142</v>
      </c>
      <c r="I16" s="33" t="s">
        <v>85</v>
      </c>
      <c r="J16" s="13"/>
    </row>
    <row r="17" customFormat="false" ht="22.35" hidden="false" customHeight="false" outlineLevel="0" collapsed="false">
      <c r="A17" s="22"/>
      <c r="B17" s="22"/>
      <c r="C17" s="22"/>
      <c r="D17" s="22" t="s">
        <v>346</v>
      </c>
      <c r="E17" s="21" t="s">
        <v>143</v>
      </c>
      <c r="F17" s="16" t="s">
        <v>144</v>
      </c>
      <c r="G17" s="22" t="s">
        <v>328</v>
      </c>
      <c r="H17" s="16" t="s">
        <v>142</v>
      </c>
      <c r="I17" s="26" t="s">
        <v>85</v>
      </c>
      <c r="J17" s="16"/>
    </row>
    <row r="18" customFormat="false" ht="22.35" hidden="false" customHeight="false" outlineLevel="0" collapsed="false">
      <c r="A18" s="34"/>
      <c r="B18" s="34"/>
      <c r="C18" s="34"/>
      <c r="D18" s="34" t="s">
        <v>347</v>
      </c>
      <c r="E18" s="35" t="s">
        <v>146</v>
      </c>
      <c r="F18" s="13" t="s">
        <v>147</v>
      </c>
      <c r="G18" s="34" t="s">
        <v>328</v>
      </c>
      <c r="H18" s="13" t="s">
        <v>142</v>
      </c>
      <c r="I18" s="33" t="s">
        <v>85</v>
      </c>
      <c r="J18" s="13"/>
    </row>
    <row r="19" customFormat="false" ht="22.35" hidden="false" customHeight="false" outlineLevel="0" collapsed="false">
      <c r="A19" s="22"/>
      <c r="B19" s="22"/>
      <c r="C19" s="22"/>
      <c r="D19" s="22" t="s">
        <v>348</v>
      </c>
      <c r="E19" s="21" t="s">
        <v>149</v>
      </c>
      <c r="F19" s="16" t="s">
        <v>150</v>
      </c>
      <c r="G19" s="22" t="s">
        <v>328</v>
      </c>
      <c r="H19" s="16" t="s">
        <v>142</v>
      </c>
      <c r="I19" s="26" t="s">
        <v>85</v>
      </c>
      <c r="J19" s="16"/>
    </row>
    <row r="20" customFormat="false" ht="22.35" hidden="false" customHeight="false" outlineLevel="0" collapsed="false">
      <c r="A20" s="34"/>
      <c r="B20" s="34"/>
      <c r="C20" s="34"/>
      <c r="D20" s="34" t="s">
        <v>349</v>
      </c>
      <c r="E20" s="35" t="s">
        <v>152</v>
      </c>
      <c r="F20" s="13" t="s">
        <v>153</v>
      </c>
      <c r="G20" s="34" t="s">
        <v>328</v>
      </c>
      <c r="H20" s="13" t="s">
        <v>142</v>
      </c>
      <c r="I20" s="33" t="s">
        <v>85</v>
      </c>
      <c r="J20" s="13"/>
    </row>
    <row r="21" customFormat="false" ht="22.35" hidden="false" customHeight="false" outlineLevel="0" collapsed="false">
      <c r="A21" s="22"/>
      <c r="B21" s="22"/>
      <c r="C21" s="22"/>
      <c r="D21" s="22" t="s">
        <v>350</v>
      </c>
      <c r="E21" s="21" t="s">
        <v>155</v>
      </c>
      <c r="F21" s="16" t="s">
        <v>156</v>
      </c>
      <c r="G21" s="22" t="s">
        <v>328</v>
      </c>
      <c r="H21" s="16" t="s">
        <v>142</v>
      </c>
      <c r="I21" s="26" t="s">
        <v>85</v>
      </c>
      <c r="J21" s="16"/>
    </row>
    <row r="22" customFormat="false" ht="22.35" hidden="false" customHeight="false" outlineLevel="0" collapsed="false">
      <c r="A22" s="34"/>
      <c r="B22" s="34"/>
      <c r="C22" s="34"/>
      <c r="D22" s="34" t="s">
        <v>351</v>
      </c>
      <c r="E22" s="35" t="s">
        <v>157</v>
      </c>
      <c r="F22" s="13" t="s">
        <v>158</v>
      </c>
      <c r="G22" s="34" t="s">
        <v>328</v>
      </c>
      <c r="H22" s="13" t="s">
        <v>142</v>
      </c>
      <c r="I22" s="33" t="s">
        <v>85</v>
      </c>
      <c r="J22" s="13" t="s">
        <v>160</v>
      </c>
    </row>
    <row r="23" customFormat="false" ht="22.35" hidden="false" customHeight="false" outlineLevel="0" collapsed="false">
      <c r="A23" s="22"/>
      <c r="B23" s="22"/>
      <c r="C23" s="22"/>
      <c r="D23" s="22" t="s">
        <v>352</v>
      </c>
      <c r="E23" s="21" t="s">
        <v>161</v>
      </c>
      <c r="F23" s="16" t="s">
        <v>162</v>
      </c>
      <c r="G23" s="22" t="s">
        <v>328</v>
      </c>
      <c r="H23" s="16" t="s">
        <v>167</v>
      </c>
      <c r="I23" s="26" t="s">
        <v>165</v>
      </c>
      <c r="J23" s="16" t="s">
        <v>168</v>
      </c>
    </row>
    <row r="24" customFormat="false" ht="22.35" hidden="false" customHeight="false" outlineLevel="0" collapsed="false">
      <c r="A24" s="34"/>
      <c r="B24" s="34"/>
      <c r="C24" s="34"/>
      <c r="D24" s="34" t="s">
        <v>353</v>
      </c>
      <c r="E24" s="35" t="s">
        <v>169</v>
      </c>
      <c r="F24" s="13" t="s">
        <v>170</v>
      </c>
      <c r="G24" s="34" t="s">
        <v>328</v>
      </c>
      <c r="H24" s="13" t="s">
        <v>167</v>
      </c>
      <c r="I24" s="33" t="s">
        <v>165</v>
      </c>
      <c r="J24" s="13" t="s">
        <v>168</v>
      </c>
    </row>
    <row r="25" customFormat="false" ht="15" hidden="false" customHeight="false" outlineLevel="0" collapsed="false">
      <c r="A25" s="26" t="s">
        <v>354</v>
      </c>
      <c r="B25" s="22" t="s">
        <v>355</v>
      </c>
      <c r="C25" s="22" t="s">
        <v>327</v>
      </c>
      <c r="D25" s="22" t="s">
        <v>356</v>
      </c>
      <c r="E25" s="21" t="s">
        <v>173</v>
      </c>
      <c r="F25" s="16" t="s">
        <v>174</v>
      </c>
      <c r="G25" s="22" t="s">
        <v>332</v>
      </c>
      <c r="H25" s="16" t="s">
        <v>87</v>
      </c>
      <c r="I25" s="26" t="s">
        <v>57</v>
      </c>
      <c r="J25" s="16"/>
    </row>
    <row r="26" customFormat="false" ht="22.35" hidden="false" customHeight="false" outlineLevel="0" collapsed="false">
      <c r="A26" s="34"/>
      <c r="B26" s="34"/>
      <c r="C26" s="34"/>
      <c r="D26" s="34" t="s">
        <v>357</v>
      </c>
      <c r="E26" s="35" t="s">
        <v>177</v>
      </c>
      <c r="F26" s="13" t="s">
        <v>178</v>
      </c>
      <c r="G26" s="34" t="s">
        <v>328</v>
      </c>
      <c r="H26" s="13" t="s">
        <v>181</v>
      </c>
      <c r="I26" s="33" t="s">
        <v>85</v>
      </c>
      <c r="J26" s="13"/>
    </row>
    <row r="27" customFormat="false" ht="15" hidden="false" customHeight="false" outlineLevel="0" collapsed="false">
      <c r="A27" s="22"/>
      <c r="B27" s="22"/>
      <c r="C27" s="22"/>
      <c r="D27" s="22" t="s">
        <v>358</v>
      </c>
      <c r="E27" s="21" t="s">
        <v>182</v>
      </c>
      <c r="F27" s="16" t="s">
        <v>89</v>
      </c>
      <c r="G27" s="22" t="s">
        <v>332</v>
      </c>
      <c r="H27" s="16" t="s">
        <v>87</v>
      </c>
      <c r="I27" s="26" t="s">
        <v>57</v>
      </c>
      <c r="J27" s="16"/>
    </row>
    <row r="28" customFormat="false" ht="15" hidden="false" customHeight="false" outlineLevel="0" collapsed="false">
      <c r="A28" s="34"/>
      <c r="B28" s="34"/>
      <c r="C28" s="34"/>
      <c r="D28" s="34" t="s">
        <v>359</v>
      </c>
      <c r="E28" s="35" t="s">
        <v>185</v>
      </c>
      <c r="F28" s="13" t="s">
        <v>186</v>
      </c>
      <c r="G28" s="34" t="s">
        <v>332</v>
      </c>
      <c r="H28" s="13" t="s">
        <v>87</v>
      </c>
      <c r="I28" s="33" t="s">
        <v>57</v>
      </c>
      <c r="J28" s="13"/>
    </row>
    <row r="29" customFormat="false" ht="15" hidden="false" customHeight="false" outlineLevel="0" collapsed="false">
      <c r="A29" s="22"/>
      <c r="B29" s="22"/>
      <c r="C29" s="22"/>
      <c r="D29" s="22" t="s">
        <v>360</v>
      </c>
      <c r="E29" s="21" t="s">
        <v>188</v>
      </c>
      <c r="F29" s="16" t="s">
        <v>189</v>
      </c>
      <c r="G29" s="22" t="s">
        <v>332</v>
      </c>
      <c r="H29" s="16" t="s">
        <v>87</v>
      </c>
      <c r="I29" s="26" t="s">
        <v>57</v>
      </c>
      <c r="J29" s="16"/>
    </row>
    <row r="30" customFormat="false" ht="15" hidden="false" customHeight="false" outlineLevel="0" collapsed="false">
      <c r="A30" s="34"/>
      <c r="B30" s="34"/>
      <c r="C30" s="34"/>
      <c r="D30" s="34" t="s">
        <v>361</v>
      </c>
      <c r="E30" s="35" t="s">
        <v>190</v>
      </c>
      <c r="F30" s="13" t="s">
        <v>191</v>
      </c>
      <c r="G30" s="34" t="s">
        <v>332</v>
      </c>
      <c r="H30" s="13" t="s">
        <v>87</v>
      </c>
      <c r="I30" s="33" t="s">
        <v>57</v>
      </c>
      <c r="J30" s="13"/>
    </row>
    <row r="31" customFormat="false" ht="15" hidden="false" customHeight="false" outlineLevel="0" collapsed="false">
      <c r="A31" s="22"/>
      <c r="B31" s="22"/>
      <c r="C31" s="22"/>
      <c r="D31" s="22" t="s">
        <v>362</v>
      </c>
      <c r="E31" s="21" t="s">
        <v>192</v>
      </c>
      <c r="F31" s="16" t="s">
        <v>82</v>
      </c>
      <c r="G31" s="22" t="s">
        <v>332</v>
      </c>
      <c r="H31" s="16" t="s">
        <v>87</v>
      </c>
      <c r="I31" s="26" t="s">
        <v>57</v>
      </c>
      <c r="J31" s="16" t="s">
        <v>193</v>
      </c>
    </row>
    <row r="32" customFormat="false" ht="22.35" hidden="false" customHeight="false" outlineLevel="0" collapsed="false">
      <c r="A32" s="34"/>
      <c r="B32" s="34"/>
      <c r="C32" s="34"/>
      <c r="D32" s="34" t="s">
        <v>363</v>
      </c>
      <c r="E32" s="35" t="s">
        <v>194</v>
      </c>
      <c r="F32" s="13" t="s">
        <v>195</v>
      </c>
      <c r="G32" s="34" t="s">
        <v>328</v>
      </c>
      <c r="H32" s="13" t="s">
        <v>201</v>
      </c>
      <c r="I32" s="33" t="s">
        <v>85</v>
      </c>
      <c r="J32" s="13" t="s">
        <v>202</v>
      </c>
    </row>
    <row r="33" customFormat="false" ht="15" hidden="false" customHeight="false" outlineLevel="0" collapsed="false">
      <c r="A33" s="22"/>
      <c r="B33" s="22"/>
      <c r="C33" s="22"/>
      <c r="D33" s="22" t="s">
        <v>364</v>
      </c>
      <c r="E33" s="21" t="s">
        <v>203</v>
      </c>
      <c r="F33" s="16" t="s">
        <v>204</v>
      </c>
      <c r="G33" s="22" t="s">
        <v>328</v>
      </c>
      <c r="H33" s="16" t="s">
        <v>205</v>
      </c>
      <c r="I33" s="26" t="s">
        <v>85</v>
      </c>
      <c r="J33" s="16" t="s">
        <v>206</v>
      </c>
    </row>
    <row r="34" customFormat="false" ht="15" hidden="false" customHeight="false" outlineLevel="0" collapsed="false">
      <c r="A34" s="34"/>
      <c r="B34" s="34"/>
      <c r="C34" s="34"/>
      <c r="D34" s="34" t="s">
        <v>365</v>
      </c>
      <c r="E34" s="35" t="s">
        <v>207</v>
      </c>
      <c r="F34" s="13" t="s">
        <v>208</v>
      </c>
      <c r="G34" s="34" t="s">
        <v>328</v>
      </c>
      <c r="H34" s="13" t="s">
        <v>205</v>
      </c>
      <c r="I34" s="33" t="s">
        <v>85</v>
      </c>
      <c r="J34" s="13" t="s">
        <v>210</v>
      </c>
    </row>
    <row r="35" customFormat="false" ht="15" hidden="false" customHeight="false" outlineLevel="0" collapsed="false">
      <c r="A35" s="22"/>
      <c r="B35" s="22"/>
      <c r="C35" s="22"/>
      <c r="D35" s="22" t="s">
        <v>366</v>
      </c>
      <c r="E35" s="21" t="s">
        <v>211</v>
      </c>
      <c r="F35" s="16" t="s">
        <v>212</v>
      </c>
      <c r="G35" s="22" t="s">
        <v>332</v>
      </c>
      <c r="H35" s="16" t="s">
        <v>87</v>
      </c>
      <c r="I35" s="26" t="s">
        <v>57</v>
      </c>
      <c r="J35" s="16" t="s">
        <v>138</v>
      </c>
    </row>
    <row r="36" customFormat="false" ht="15" hidden="false" customHeight="false" outlineLevel="0" collapsed="false">
      <c r="A36" s="34"/>
      <c r="B36" s="34"/>
      <c r="C36" s="34"/>
      <c r="D36" s="34" t="s">
        <v>367</v>
      </c>
      <c r="E36" s="35" t="s">
        <v>213</v>
      </c>
      <c r="F36" s="13" t="s">
        <v>214</v>
      </c>
      <c r="G36" s="34" t="s">
        <v>328</v>
      </c>
      <c r="H36" s="13" t="s">
        <v>131</v>
      </c>
      <c r="I36" s="33" t="s">
        <v>57</v>
      </c>
      <c r="J36" s="13"/>
    </row>
    <row r="37" customFormat="false" ht="22.35" hidden="false" customHeight="false" outlineLevel="0" collapsed="false">
      <c r="A37" s="22"/>
      <c r="B37" s="22"/>
      <c r="C37" s="22"/>
      <c r="D37" s="22" t="s">
        <v>368</v>
      </c>
      <c r="E37" s="21" t="s">
        <v>217</v>
      </c>
      <c r="F37" s="16" t="s">
        <v>218</v>
      </c>
      <c r="G37" s="22" t="s">
        <v>328</v>
      </c>
      <c r="H37" s="16" t="s">
        <v>131</v>
      </c>
      <c r="I37" s="26" t="s">
        <v>57</v>
      </c>
      <c r="J37" s="16" t="s">
        <v>222</v>
      </c>
    </row>
  </sheetData>
  <autoFilter ref="A1:J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36" t="s">
        <v>369</v>
      </c>
    </row>
    <row r="3" customFormat="false" ht="15" hidden="false" customHeight="false" outlineLevel="0" collapsed="false">
      <c r="A3" s="10" t="s">
        <v>370</v>
      </c>
      <c r="B3" s="10" t="s">
        <v>371</v>
      </c>
      <c r="C3" s="10" t="s">
        <v>297</v>
      </c>
      <c r="D3" s="10" t="s">
        <v>372</v>
      </c>
      <c r="E3" s="10" t="s">
        <v>373</v>
      </c>
    </row>
    <row r="4" customFormat="false" ht="15" hidden="false" customHeight="false" outlineLevel="0" collapsed="false">
      <c r="A4" s="37" t="s">
        <v>332</v>
      </c>
      <c r="B4" s="16" t="s">
        <v>374</v>
      </c>
      <c r="C4" s="16" t="s">
        <v>375</v>
      </c>
      <c r="D4" s="16" t="s">
        <v>376</v>
      </c>
      <c r="E4" s="16" t="s">
        <v>377</v>
      </c>
    </row>
    <row r="5" customFormat="false" ht="15" hidden="false" customHeight="false" outlineLevel="0" collapsed="false">
      <c r="A5" s="37" t="s">
        <v>328</v>
      </c>
      <c r="B5" s="16" t="s">
        <v>378</v>
      </c>
      <c r="C5" s="16" t="s">
        <v>379</v>
      </c>
      <c r="D5" s="16" t="s">
        <v>380</v>
      </c>
      <c r="E5" s="16" t="s">
        <v>381</v>
      </c>
    </row>
    <row r="6" customFormat="false" ht="15" hidden="false" customHeight="false" outlineLevel="0" collapsed="false">
      <c r="A6" s="37" t="s">
        <v>382</v>
      </c>
      <c r="B6" s="16" t="s">
        <v>383</v>
      </c>
      <c r="C6" s="16" t="s">
        <v>384</v>
      </c>
      <c r="D6" s="16" t="s">
        <v>385</v>
      </c>
      <c r="E6" s="16" t="s">
        <v>386</v>
      </c>
    </row>
    <row r="9" customFormat="false" ht="15" hidden="false" customHeight="false" outlineLevel="0" collapsed="false">
      <c r="A9" s="38" t="s">
        <v>387</v>
      </c>
    </row>
    <row r="11" customFormat="false" ht="15" hidden="false" customHeight="false" outlineLevel="0" collapsed="false">
      <c r="A11" s="10" t="s">
        <v>388</v>
      </c>
      <c r="B11" s="10" t="s">
        <v>389</v>
      </c>
      <c r="C11" s="10" t="s">
        <v>390</v>
      </c>
      <c r="D11" s="10" t="s">
        <v>391</v>
      </c>
      <c r="E11" s="10" t="s">
        <v>392</v>
      </c>
      <c r="F11" s="10" t="s">
        <v>393</v>
      </c>
    </row>
    <row r="12" customFormat="false" ht="15" hidden="false" customHeight="false" outlineLevel="0" collapsed="false">
      <c r="A12" s="34" t="s">
        <v>394</v>
      </c>
      <c r="B12" s="34" t="s">
        <v>252</v>
      </c>
      <c r="C12" s="34" t="n">
        <v>2</v>
      </c>
      <c r="D12" s="34" t="s">
        <v>395</v>
      </c>
      <c r="E12" s="34" t="s">
        <v>395</v>
      </c>
      <c r="F12" s="34" t="s">
        <v>395</v>
      </c>
    </row>
    <row r="13" customFormat="false" ht="15" hidden="false" customHeight="false" outlineLevel="0" collapsed="false">
      <c r="A13" s="22" t="s">
        <v>396</v>
      </c>
      <c r="B13" s="22" t="s">
        <v>254</v>
      </c>
      <c r="C13" s="22" t="n">
        <v>3</v>
      </c>
      <c r="D13" s="22" t="s">
        <v>395</v>
      </c>
      <c r="E13" s="22" t="s">
        <v>395</v>
      </c>
      <c r="F13" s="22" t="s">
        <v>395</v>
      </c>
    </row>
    <row r="14" customFormat="false" ht="15" hidden="false" customHeight="false" outlineLevel="0" collapsed="false">
      <c r="A14" s="34" t="s">
        <v>397</v>
      </c>
      <c r="B14" s="34" t="s">
        <v>398</v>
      </c>
      <c r="C14" s="34" t="n">
        <v>5</v>
      </c>
      <c r="D14" s="34" t="s">
        <v>395</v>
      </c>
      <c r="E14" s="34" t="s">
        <v>395</v>
      </c>
      <c r="F14" s="34" t="s">
        <v>395</v>
      </c>
    </row>
    <row r="15" customFormat="false" ht="15" hidden="false" customHeight="false" outlineLevel="0" collapsed="false">
      <c r="A15" s="22" t="s">
        <v>399</v>
      </c>
      <c r="B15" s="22" t="s">
        <v>400</v>
      </c>
      <c r="C15" s="22" t="n">
        <v>8</v>
      </c>
      <c r="D15" s="22" t="s">
        <v>395</v>
      </c>
      <c r="E15" s="22" t="s">
        <v>395</v>
      </c>
      <c r="F15" s="22" t="s">
        <v>401</v>
      </c>
    </row>
    <row r="16" customFormat="false" ht="15" hidden="false" customHeight="false" outlineLevel="0" collapsed="false">
      <c r="A16" s="34" t="s">
        <v>402</v>
      </c>
      <c r="B16" s="34" t="s">
        <v>403</v>
      </c>
      <c r="C16" s="34" t="n">
        <v>13</v>
      </c>
      <c r="D16" s="34" t="s">
        <v>395</v>
      </c>
      <c r="E16" s="34" t="s">
        <v>401</v>
      </c>
      <c r="F16" s="34" t="s">
        <v>401</v>
      </c>
    </row>
    <row r="17" customFormat="false" ht="15" hidden="false" customHeight="false" outlineLevel="0" collapsed="false">
      <c r="A17" s="22" t="s">
        <v>404</v>
      </c>
      <c r="B17" s="22" t="s">
        <v>405</v>
      </c>
      <c r="C17" s="22" t="n">
        <v>20</v>
      </c>
      <c r="D17" s="22" t="s">
        <v>401</v>
      </c>
      <c r="E17" s="22" t="s">
        <v>401</v>
      </c>
      <c r="F17" s="22" t="s">
        <v>406</v>
      </c>
    </row>
    <row r="18" customFormat="false" ht="15" hidden="false" customHeight="false" outlineLevel="0" collapsed="false">
      <c r="A18" s="34" t="s">
        <v>407</v>
      </c>
      <c r="B18" s="34" t="s">
        <v>408</v>
      </c>
      <c r="C18" s="34" t="n">
        <v>32</v>
      </c>
      <c r="D18" s="34" t="s">
        <v>401</v>
      </c>
      <c r="E18" s="34" t="s">
        <v>406</v>
      </c>
      <c r="F18" s="34" t="s">
        <v>409</v>
      </c>
    </row>
    <row r="19" customFormat="false" ht="15" hidden="false" customHeight="false" outlineLevel="0" collapsed="false">
      <c r="A19" s="22" t="s">
        <v>410</v>
      </c>
      <c r="B19" s="22" t="s">
        <v>411</v>
      </c>
      <c r="C19" s="22" t="n">
        <v>50</v>
      </c>
      <c r="D19" s="22" t="s">
        <v>401</v>
      </c>
      <c r="E19" s="22" t="s">
        <v>409</v>
      </c>
      <c r="F19" s="22" t="s">
        <v>412</v>
      </c>
    </row>
    <row r="20" customFormat="false" ht="15" hidden="false" customHeight="false" outlineLevel="0" collapsed="false">
      <c r="A20" s="34" t="s">
        <v>413</v>
      </c>
      <c r="B20" s="34" t="s">
        <v>414</v>
      </c>
      <c r="C20" s="34" t="n">
        <v>80</v>
      </c>
      <c r="D20" s="34" t="s">
        <v>406</v>
      </c>
      <c r="E20" s="34" t="s">
        <v>412</v>
      </c>
      <c r="F20" s="34" t="s">
        <v>415</v>
      </c>
    </row>
    <row r="22" customFormat="false" ht="15" hidden="false" customHeight="false" outlineLevel="0" collapsed="false">
      <c r="A22" s="39" t="s">
        <v>416</v>
      </c>
    </row>
    <row r="23" customFormat="false" ht="15" hidden="false" customHeight="false" outlineLevel="0" collapsed="false">
      <c r="A23" s="5" t="s">
        <v>417</v>
      </c>
      <c r="B23" s="31" t="s">
        <v>418</v>
      </c>
      <c r="C23" s="31"/>
      <c r="D23" s="31"/>
      <c r="E23" s="31"/>
      <c r="F23" s="31"/>
    </row>
    <row r="24" customFormat="false" ht="15" hidden="false" customHeight="false" outlineLevel="0" collapsed="false">
      <c r="A24" s="5" t="s">
        <v>419</v>
      </c>
      <c r="B24" s="31" t="s">
        <v>420</v>
      </c>
      <c r="C24" s="31"/>
      <c r="D24" s="31"/>
      <c r="E24" s="31"/>
      <c r="F24" s="31"/>
    </row>
    <row r="25" customFormat="false" ht="15" hidden="false" customHeight="false" outlineLevel="0" collapsed="false">
      <c r="A25" s="5" t="s">
        <v>421</v>
      </c>
      <c r="B25" s="31" t="s">
        <v>422</v>
      </c>
      <c r="C25" s="31"/>
      <c r="D25" s="31"/>
      <c r="E25" s="31"/>
      <c r="F25" s="31"/>
    </row>
    <row r="27" customFormat="false" ht="15" hidden="false" customHeight="false" outlineLevel="0" collapsed="false">
      <c r="A27" s="32" t="s">
        <v>423</v>
      </c>
      <c r="B27" s="32"/>
      <c r="C27" s="32"/>
      <c r="D27" s="32"/>
      <c r="E27" s="32"/>
      <c r="F27" s="32"/>
    </row>
  </sheetData>
  <mergeCells count="4">
    <mergeCell ref="B23:F23"/>
    <mergeCell ref="B24:F24"/>
    <mergeCell ref="B25:F25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44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0" t="s">
        <v>226</v>
      </c>
      <c r="B1" s="10" t="s">
        <v>296</v>
      </c>
      <c r="C1" s="10" t="s">
        <v>424</v>
      </c>
      <c r="D1" s="10" t="s">
        <v>425</v>
      </c>
      <c r="E1" s="10" t="s">
        <v>426</v>
      </c>
    </row>
    <row r="2" customFormat="false" ht="22.35" hidden="false" customHeight="false" outlineLevel="0" collapsed="false">
      <c r="A2" s="40" t="s">
        <v>252</v>
      </c>
      <c r="B2" s="13" t="s">
        <v>303</v>
      </c>
      <c r="C2" s="13" t="s">
        <v>427</v>
      </c>
      <c r="D2" s="13" t="s">
        <v>428</v>
      </c>
      <c r="E2" s="13"/>
    </row>
    <row r="3" customFormat="false" ht="15" hidden="false" customHeight="false" outlineLevel="0" collapsed="false">
      <c r="A3" s="37" t="s">
        <v>429</v>
      </c>
      <c r="B3" s="16" t="s">
        <v>430</v>
      </c>
      <c r="C3" s="16" t="s">
        <v>431</v>
      </c>
      <c r="D3" s="16" t="s">
        <v>432</v>
      </c>
      <c r="E3" s="16" t="s">
        <v>433</v>
      </c>
    </row>
    <row r="4" customFormat="false" ht="22.35" hidden="false" customHeight="false" outlineLevel="0" collapsed="false">
      <c r="A4" s="40" t="s">
        <v>434</v>
      </c>
      <c r="B4" s="13" t="s">
        <v>435</v>
      </c>
      <c r="C4" s="13" t="s">
        <v>436</v>
      </c>
      <c r="D4" s="13" t="s">
        <v>437</v>
      </c>
      <c r="E4" s="13" t="s">
        <v>438</v>
      </c>
    </row>
    <row r="5" customFormat="false" ht="15" hidden="false" customHeight="false" outlineLevel="0" collapsed="false">
      <c r="A5" s="37" t="s">
        <v>439</v>
      </c>
      <c r="B5" s="16" t="s">
        <v>440</v>
      </c>
      <c r="C5" s="16" t="s">
        <v>441</v>
      </c>
      <c r="D5" s="16" t="s">
        <v>442</v>
      </c>
      <c r="E5" s="16" t="s">
        <v>443</v>
      </c>
    </row>
    <row r="6" customFormat="false" ht="15" hidden="false" customHeight="false" outlineLevel="0" collapsed="false">
      <c r="A6" s="40" t="s">
        <v>444</v>
      </c>
      <c r="B6" s="13" t="s">
        <v>445</v>
      </c>
      <c r="C6" s="13" t="s">
        <v>446</v>
      </c>
      <c r="D6" s="13" t="s">
        <v>447</v>
      </c>
      <c r="E6" s="13"/>
    </row>
    <row r="7" customFormat="false" ht="22.35" hidden="false" customHeight="false" outlineLevel="0" collapsed="false">
      <c r="A7" s="37" t="s">
        <v>448</v>
      </c>
      <c r="B7" s="16" t="s">
        <v>300</v>
      </c>
      <c r="C7" s="16" t="s">
        <v>449</v>
      </c>
      <c r="D7" s="16" t="s">
        <v>450</v>
      </c>
      <c r="E7" s="16"/>
    </row>
    <row r="9" customFormat="false" ht="15" hidden="false" customHeight="false" outlineLevel="0" collapsed="false">
      <c r="A9" s="32" t="s">
        <v>451</v>
      </c>
      <c r="B9" s="32"/>
      <c r="C9" s="32"/>
      <c r="D9" s="32"/>
      <c r="E9" s="32"/>
    </row>
  </sheetData>
  <mergeCells count="1"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0" t="s">
        <v>452</v>
      </c>
      <c r="B1" s="10" t="s">
        <v>453</v>
      </c>
      <c r="C1" s="10" t="s">
        <v>454</v>
      </c>
      <c r="D1" s="10" t="s">
        <v>455</v>
      </c>
      <c r="E1" s="10" t="s">
        <v>456</v>
      </c>
    </row>
    <row r="2" customFormat="false" ht="32.8" hidden="false" customHeight="false" outlineLevel="0" collapsed="false">
      <c r="A2" s="16" t="s">
        <v>57</v>
      </c>
      <c r="B2" s="37" t="s">
        <v>101</v>
      </c>
      <c r="C2" s="16" t="s">
        <v>457</v>
      </c>
      <c r="D2" s="16" t="s">
        <v>458</v>
      </c>
      <c r="E2" s="19"/>
    </row>
    <row r="3" customFormat="false" ht="22.35" hidden="false" customHeight="false" outlineLevel="0" collapsed="false">
      <c r="A3" s="16" t="s">
        <v>85</v>
      </c>
      <c r="B3" s="37" t="s">
        <v>217</v>
      </c>
      <c r="C3" s="16" t="s">
        <v>459</v>
      </c>
      <c r="D3" s="16" t="s">
        <v>460</v>
      </c>
      <c r="E3" s="19"/>
    </row>
    <row r="4" customFormat="false" ht="22.35" hidden="false" customHeight="false" outlineLevel="0" collapsed="false">
      <c r="A4" s="16" t="s">
        <v>165</v>
      </c>
      <c r="B4" s="37" t="s">
        <v>461</v>
      </c>
      <c r="C4" s="16" t="s">
        <v>462</v>
      </c>
      <c r="D4" s="16" t="s">
        <v>463</v>
      </c>
      <c r="E4" s="19"/>
    </row>
    <row r="5" customFormat="false" ht="22.35" hidden="false" customHeight="false" outlineLevel="0" collapsed="false">
      <c r="A5" s="16" t="s">
        <v>240</v>
      </c>
      <c r="B5" s="37" t="s">
        <v>464</v>
      </c>
      <c r="C5" s="16" t="s">
        <v>465</v>
      </c>
      <c r="D5" s="16" t="s">
        <v>466</v>
      </c>
      <c r="E5" s="19"/>
    </row>
    <row r="6" customFormat="false" ht="22.35" hidden="false" customHeight="false" outlineLevel="0" collapsed="false">
      <c r="A6" s="16" t="s">
        <v>467</v>
      </c>
      <c r="B6" s="37" t="s">
        <v>468</v>
      </c>
      <c r="C6" s="16" t="s">
        <v>469</v>
      </c>
      <c r="D6" s="16" t="s">
        <v>470</v>
      </c>
      <c r="E6" s="19"/>
    </row>
    <row r="7" customFormat="false" ht="32.8" hidden="false" customHeight="false" outlineLevel="0" collapsed="false">
      <c r="A7" s="16" t="s">
        <v>471</v>
      </c>
      <c r="B7" s="37" t="s">
        <v>472</v>
      </c>
      <c r="C7" s="16" t="s">
        <v>473</v>
      </c>
      <c r="D7" s="16" t="s">
        <v>474</v>
      </c>
      <c r="E7" s="19"/>
    </row>
    <row r="8" customFormat="false" ht="32.8" hidden="false" customHeight="false" outlineLevel="0" collapsed="false">
      <c r="A8" s="16" t="s">
        <v>475</v>
      </c>
      <c r="B8" s="37" t="s">
        <v>73</v>
      </c>
      <c r="C8" s="16" t="s">
        <v>476</v>
      </c>
      <c r="D8" s="16" t="s">
        <v>477</v>
      </c>
      <c r="E8" s="19"/>
    </row>
    <row r="9" customFormat="false" ht="32.8" hidden="false" customHeight="false" outlineLevel="0" collapsed="false">
      <c r="A9" s="16" t="s">
        <v>478</v>
      </c>
      <c r="B9" s="37" t="s">
        <v>479</v>
      </c>
      <c r="C9" s="16" t="s">
        <v>480</v>
      </c>
      <c r="D9" s="16" t="s">
        <v>481</v>
      </c>
      <c r="E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2026-08-21T07:20:36Z</dcterms:created>
  <dc:creator>openpyxl</dc:creator>
  <dc:description/>
  <dc:language>en-US</dc:language>
  <cp:lastModifiedBy/>
  <dcterms:modified xsi:type="dcterms:W3CDTF">2026-08-21T07:20:36Z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